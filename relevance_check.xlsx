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Progress" sheetId="2" state="visible" r:id="rId4"/>
    <sheet name="Ground" sheetId="3" state="visible" r:id="rId5"/>
    <sheet name="Air" sheetId="4" state="visible" r:id="rId6"/>
    <sheet name="Maritime" sheetId="5" state="visible" r:id="rId7"/>
    <sheet name="Surveys" sheetId="6" state="visible" r:id="rId8"/>
    <sheet name="Funnel" sheetId="7" state="visible" r:id="rId9"/>
  </sheets>
  <definedNames>
    <definedName function="false" hidden="true" localSheetId="3" name="_xlnm._FilterDatabase" vbProcedure="false">Air!$A$1:$O$61</definedName>
    <definedName function="false" hidden="true" localSheetId="2" name="_xlnm._FilterDatabase" vbProcedure="false">Ground!$A$1:$O$61</definedName>
    <definedName function="false" hidden="true" localSheetId="4" name="_xlnm._FilterDatabase" vbProcedure="false">Maritime!$A$1:$O$61</definedName>
    <definedName function="false" hidden="true" localSheetId="5" name="_xlnm._FilterDatabase" vbProcedure="false">Surveys!$A$1:$O$16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<sst xmlns="http://schemas.openxmlformats.org/spreadsheetml/2006/main" count="1651" uniqueCount="1118">
  <si>
    <t xml:space="preserve">Relevance check — UAV traffic intelligence corpus</t>
  </si>
  <si>
    <t xml:space="preserve">Export date: 15 Oct 2026. Candidates ranked by citations per year (Scopus 'Cited by' ÷ years since mid-publication-year).</t>
  </si>
  <si>
    <t xml:space="preserve">WHAT TO DO</t>
  </si>
  <si>
    <t xml:space="preserve">1. On each domain sheet, read Title + Abstract in rank order (top to bottom), separately for Pool = core and Pool = recent.</t>
  </si>
  <si>
    <t xml:space="preserve">2. Fill only the yellow columns: Decision (Include / Exclude / Unsure) and, if Exclude, Reason code.</t>
  </si>
  <si>
    <t xml:space="preserve">3. Stop when the Progress sheet shows the target reached: 20 core + 5 recent included per domain. Rows below the stopping point stay blank.</t>
  </si>
  <si>
    <t xml:space="preserve">4. Use 'Unsure' sparingly; note why in the Notes column. We resolve these together.</t>
  </si>
  <si>
    <t xml:space="preserve">5. Surveys sheet: mark the 2 most useful reviews per domain as Include (background only, not counted in statistics).</t>
  </si>
  <si>
    <t xml:space="preserve">INCLUSION CRITERIA (all three must hold)</t>
  </si>
  <si>
    <t xml:space="preserve">C1  Primary subject is traffic intelligence in the domain: sensing, analysing, managing, or coordinating vehicles, aircraft, or vessels as traffic.</t>
  </si>
  <si>
    <t xml:space="preserve">C2  UAVs (or, for maritime, USVs/autonomous ships) are the sensing platform or the traffic being managed.</t>
  </si>
  <si>
    <t xml:space="preserve">C3  The paper proposes, implements, evaluates, or provides a dataset for at least one of the 12 taxonomy capabilities.</t>
  </si>
  <si>
    <t xml:space="preserve">EXCLUSION REASON CODES</t>
  </si>
  <si>
    <t xml:space="preserve">E1  Not traffic intelligence (e.g., UAV networking/routing, security/authentication, energy trading, generic DNN verification).</t>
  </si>
  <si>
    <t xml:space="preserve">E2  No UAV/USV role (UAV only mentioned in passing).</t>
  </si>
  <si>
    <t xml:space="preserve">E3  Topic fits but no capability contribution (position paper, policy commentary without technical content).</t>
  </si>
  <si>
    <t xml:space="preserve">E4  Out-of-scope application (agriculture, inspection, delivery, ecology, physical-layer comms).</t>
  </si>
  <si>
    <t xml:space="preserve">EXAMPLE</t>
  </si>
  <si>
    <t xml:space="preserve">Rank 8, ground: 'Efficient and Secure Routing Protocol ... UAV-Assisted for Vehicular Ad Hoc Networks'  →  Decision = Exclude, Reason = E1, Notes = 'VANET routing, not traffic sensing'.</t>
  </si>
  <si>
    <t xml:space="preserve">Rank 9, ground: 'On the new era of urban traffic monitoring with massive drone data: The pNEUMA ...'  →  Decision = Include.</t>
  </si>
  <si>
    <t xml:space="preserve">Domain</t>
  </si>
  <si>
    <t xml:space="preserve">Core included</t>
  </si>
  <si>
    <t xml:space="preserve">Core target</t>
  </si>
  <si>
    <t xml:space="preserve">Recent included</t>
  </si>
  <si>
    <t xml:space="preserve">Recent target</t>
  </si>
  <si>
    <t xml:space="preserve">Excluded</t>
  </si>
  <si>
    <t xml:space="preserve">Unsure</t>
  </si>
  <si>
    <t xml:space="preserve">Status</t>
  </si>
  <si>
    <t xml:space="preserve">Ground</t>
  </si>
  <si>
    <t xml:space="preserve">Air</t>
  </si>
  <si>
    <t xml:space="preserve">Maritime</t>
  </si>
  <si>
    <t xml:space="preserve">Surveys</t>
  </si>
  <si>
    <t xml:space="preserve">Targets (20 core, 5 recent per domain; 6 surveys) are the agreed corpus size; edit column C/E only if that decision changes.</t>
  </si>
  <si>
    <t xml:space="preserve">Rank</t>
  </si>
  <si>
    <t xml:space="preserve">Pool</t>
  </si>
  <si>
    <t xml:space="preserve">Year</t>
  </si>
  <si>
    <t xml:space="preserve">Cited by</t>
  </si>
  <si>
    <t xml:space="preserve">Cites/yr</t>
  </si>
  <si>
    <t xml:space="preserve">Title</t>
  </si>
  <si>
    <t xml:space="preserve">Abstract</t>
  </si>
  <si>
    <t xml:space="preserve">Author keywords</t>
  </si>
  <si>
    <t xml:space="preserve">Source</t>
  </si>
  <si>
    <t xml:space="preserve">Doc type</t>
  </si>
  <si>
    <t xml:space="preserve">DOI</t>
  </si>
  <si>
    <t xml:space="preserve">EID</t>
  </si>
  <si>
    <t xml:space="preserve">Decision</t>
  </si>
  <si>
    <t xml:space="preserve">Reason</t>
  </si>
  <si>
    <t xml:space="preserve">Notes</t>
  </si>
  <si>
    <t xml:space="preserve">core</t>
  </si>
  <si>
    <t xml:space="preserve">The highD Dataset: A Drone Dataset of Naturalistic Vehicle Trajectories on German Highways for Validation of Highly Automated Driving Systems</t>
  </si>
  <si>
    <t xml:space="preserve">Scenario-based testing for the safety validation of highly automated vehicles is a promising approach that is being examined in research and industry. This approach heavily relies on data from real-world scenarios to derive the necessary scenario information for testing. Measurement data should be collected at a reasonable effort, contain naturalistic behavior of road users and include all data relevant for a description of the identified scenarios in sufficient quality. However, the current measurement methods fail to meet at least one of the requirements. Thus, we propose a novel method to measure data from an aerial perspective for scenario-based validation fulfilling the mentioned requirements. Furthermore, we provide a large-scale naturalistic vehicle trajectory dataset from German highways called highD. We evaluate the data in terms of quantity, variety and contained scenarios. Our dataset consists of 16.5 hours of measurements from six locations with 110 000 vehicles, a total driven distance of 45 000 km and 5600 recorded complete lane changes. © 2018 IEEE.</t>
  </si>
  <si>
    <t xml:space="preserve">IEEE Conference on Intelligent Transportation Systems, Proceedings, ITSC</t>
  </si>
  <si>
    <t xml:space="preserve">Conference paper</t>
  </si>
  <si>
    <t xml:space="preserve">10.1109/ITSC.2018.8569552</t>
  </si>
  <si>
    <t xml:space="preserve">2-s2.0-85060491760</t>
  </si>
  <si>
    <t xml:space="preserve">Drone-Based RGB-Infrared Cross-Modality Vehicle Detection Via Uncertainty-Aware Learning</t>
  </si>
  <si>
    <t xml:space="preserve">Drone-based vehicle detection aims at detecting vehicle locations and categories in aerial images. It empowers smart city traffic management and disaster relief. Researchers have made a great deal of effort in this area and achieved considerable progress. However, because of the paucity of data under extreme conditions, drone-based vehicle detection remains a challenge when objects are difficult to distinguish, particularly in low-light conditions. To fill this gap, we constructed a large-scale drone-based RGB-infrared vehicle detection dataset called DroneVehicle, which contains 28, 439 RGB-infrared image pairs covering urban roads, residential areas, parking lots, and other scenarios from day to night. Cross-modal images provide complementary information for vehicle detection, but also introduce redundant information. To handle this dilemma, we further propose an uncertainty-aware cross-modality vehicle detection (UA-CMDet) framework to improve detection performance in complex environments. Specifically, we design an uncertainty-aware module using cross-modal intersection over union and illumination estimation to quantify the uncertainty of each object. Our method takes uncertainty as a weight to boost model learning more effectively while reducing bias caused by high-uncertainty objects. For more robust cross-modal integration, we further perform illumination-aware non-maximum suppression during inference. Extensive experiments on our DroneVehicle and two challenging RGB-i</t>
  </si>
  <si>
    <t xml:space="preserve">Cross-modality; drone-based vehicle detection; feature fusion; uncertainty-aware</t>
  </si>
  <si>
    <t xml:space="preserve">IEEE Transactions on Circuits and Systems for Video Technology</t>
  </si>
  <si>
    <t xml:space="preserve">Article</t>
  </si>
  <si>
    <t xml:space="preserve">10.1109/TCSVT.2022.3168279</t>
  </si>
  <si>
    <t xml:space="preserve">2-s2.0-85128661617</t>
  </si>
  <si>
    <t xml:space="preserve">6G for Vehicle-to-Everything (V2X) Communications: Enabling Technologies, Challenges, and Opportunities</t>
  </si>
  <si>
    <t xml:space="preserve">We are on the cusp of a new era of connected autonomous vehicles with unprecedented user experiences, tremendously improved road safety and air quality, highly diverse transportation environments and use cases, and a plethora of advanced applications. Realizing this grand vision requires a significantly enhanced vehicle-to-everything (V2X) communication network that should be extremely intelligent and capable of concurrently supporting hyperfast, ultrareliable, and low-latency massive information exchange. It is anticipated that the sixth-generation (6G) communication systems will fulfill these requirements of the next-generation V2X. In this article, we outline a series of key enabling technologies from a range of domains, such as new materials, algorithms, and system architectures. Aiming for truly intelligent transportation systems, we envision that machine learning (ML) will play an instrumental role in advanced vehicular communication and networking. To this end, we provide an overview of the recent advances of ML in 6G vehicular networks. To stimulate future research in this area, we discuss the strength, open challenges, maturity, and enhancing areas of these technologies.  © 1963-2012 IEEE.</t>
  </si>
  <si>
    <t xml:space="preserve">Blockchain; brain-controlled vehicle (BCV); federated learning; intelligent reflective surfaces (IRSs); machine learning (ML); nonorthogonal multiple access (NOMA); quantum; radio frequency (RF)-visible light communication (VLC) vehicle-to-everything (V2X); sixth-generation (6G)-V2X; tactile-V2X; terahertz (THz) communications; unmanned-aerial-vehicle (UAV)/satelliteassisted V2X</t>
  </si>
  <si>
    <t xml:space="preserve">Proceedings of the IEEE</t>
  </si>
  <si>
    <t xml:space="preserve">10.1109/JPROC.2022.3173031</t>
  </si>
  <si>
    <t xml:space="preserve">2-s2.0-85130498686</t>
  </si>
  <si>
    <t xml:space="preserve">UAV-enabled intelligent transportation systems for the smart city: Applications and challenges</t>
  </si>
  <si>
    <t xml:space="preserve">There could be no smart city without a reliable and efficient transportation system. This necessity makes the ITS a key component of any smart city concept. While legacy ITS technologies are deployed worldwide in smart cities, enabling the next generation of ITS relies on effective integration of connected and autonomous vehicles, the two technologies that are under wide field testing in many cities around the world. Even though these two emerging technologies are crucial in enabling fully automated transportation systems, there is still a significant need to automate other road and transportation components. To this end, due to their mobility, autonomous operation, and communication/processing capabilities, UAVs are envisaged in many ITS application domains. This article describes the possible ITS applications that can use UAVs, and highlights the potential and challenges for UAV-enabled ITS for next-generation smart cities. © 2017 IEEE.</t>
  </si>
  <si>
    <t xml:space="preserve">IEEE Communications Magazine</t>
  </si>
  <si>
    <t xml:space="preserve">10.1109/MCOM.2017.1600238CM</t>
  </si>
  <si>
    <t xml:space="preserve">2-s2.0-85017659064</t>
  </si>
  <si>
    <t xml:space="preserve">Edge Intelligence in Intelligent Transportation Systems: A Survey</t>
  </si>
  <si>
    <t xml:space="preserve">Edge intelligence (EI) is becoming one of the research hotspots among researchers, which is believed to help empower intelligent transportation systems (ITS). ITS generates a large amount of data at the network edge by millions of devices and sensors. Data-driven artificial intelligence (AI) is at the core of ITS development. By pushing the AI frontier to the network edge, EI enables ITS AI applications to have lower latency, higher security, less pressure on the backbone network and better use edge big data. This paper surveys Edge Intelligence in Intelligent Transportation Systems. We first introduce the challenges ITS faces and explain the motivation of using EI in ITS. We then explore the framework of using EI in ITS, including the EI-based ITS architecture, the data gathering and communication methods, the data processing and service delivery, and the performance indexes. The enabling technologies, such as AI models, the Internet of Things, and Edge Computing technologies used in EI-based ITS, are reviewed intensively. We discuss the edge intelligence applications and research fields in ITS in depth. Typical application scenarios, such as autonomous driving, vehicular edge computing, intelligent vehicular transportation system, unmanned aerial vehicle (UAV) in ITS environment, and rail transportation control and management, are explored. The general platforms of EI, the EI training and inference in ITS, as well as the benchmark datasets, are introduced. Finally, we discu</t>
  </si>
  <si>
    <t xml:space="preserve">artificial intelligence (AI); Edge intelligence (EI); intelligent transportation systems (ITS); transportation</t>
  </si>
  <si>
    <t xml:space="preserve">IEEE Transactions on Intelligent Transportation Systems</t>
  </si>
  <si>
    <t xml:space="preserve">10.1109/TITS.2023.3275741</t>
  </si>
  <si>
    <t xml:space="preserve">2-s2.0-85161029427</t>
  </si>
  <si>
    <t xml:space="preserve">Applications of unmanned aerial vehicle (UAV) in road safety, traffic and highway infrastructure management: Recent advances and challenges</t>
  </si>
  <si>
    <t xml:space="preserve">For next-generation smart cities, small UAVs (also known as drones) are vital to incorporate in airspace for advancing the transportation systems. This paper presents a review of recent developments in relation to the application of UAVs in three major domains of transportation, namely; road safety, traffic monitoring and highway infrastructure management. Advances in computer vision algorithms to extract key features from UAV acquired videos and images are discussed along with the discussion on improvements made in traffic flow analysis methods, risk assessment and assistance in accident investigation and damage assessments for bridges and pavements. Additionally, barriers associated with the wide-scale deployment of UAVs technology are identified and countermeasures to overcome these barriers are discussed, along with their implications. © 2020</t>
  </si>
  <si>
    <t xml:space="preserve">Applications; Highway infrastructure management; Road safety; Traffic monitoring; Unmanned aerial vehicles (UAVs)</t>
  </si>
  <si>
    <t xml:space="preserve">Transportation Research Part A: Policy and Practice</t>
  </si>
  <si>
    <t xml:space="preserve">10.1016/j.tra.2020.09.018</t>
  </si>
  <si>
    <t xml:space="preserve">2-s2.0-85091785152</t>
  </si>
  <si>
    <t xml:space="preserve">The inD Dataset: A Drone Dataset of Naturalistic Road User Trajectories at German Intersections</t>
  </si>
  <si>
    <t xml:space="preserve">Automated vehicles rely heavily on data-driven methods, especially for complex urban environments. Large datasets of real world measurement data in the form of road user trajectories are crucial for several tasks like road user prediction models or scenario-based safety validation. So far, though, this demand is unmet as no public dataset of urban road user trajectories is available in an appropriate size, quality and variety. By contrast, the highway drone dataset (highD) has recently shown that drones are an efficient method for acquiring naturalistic road user trajectories. Compared to driving studies or ground-level infrastructure sensors, one major advantage of using a drone is the possibility to record naturalistic behavior, as road users do not notice measurements taking place. Due to the ideal viewing angle, an entire intersection scenario can be measured with significantly less occlusion than with sensors at ground level. Therefore, we created a comprehensive, large-scale urban intersection dataset with naturalistic road user behavior using camera-equipped drones as successor of the highD dataset. The resulting dataset contains more than 13 500 road users including vehicles, bicyclists and pedestrians at intersections in Germany and is called inD. The dataset consists of 10 hours of measurement data from four intersections and is available online for non-commercial research at: https://www.inD-dataset.com © 2020 IEEE.</t>
  </si>
  <si>
    <t xml:space="preserve">IEEE Intelligent Vehicles Symposium, Proceedings</t>
  </si>
  <si>
    <t xml:space="preserve">10.1109/IV47402.2020.9304839</t>
  </si>
  <si>
    <t xml:space="preserve">2-s2.0-85099884420</t>
  </si>
  <si>
    <t xml:space="preserve">Efficient and Secure Routing Protocol Based on Artificial Intelligence Algorithms with UAV-Assisted for Vehicular Ad Hoc Networks in Intelligent Transportation Systems</t>
  </si>
  <si>
    <t xml:space="preserve">Vehicular Ad hoc Networks (VANETs) that are considered as a subset of Mobile Ad hoc Networks (MANETs) can be applied in the field of transportation especially in Intelligent Transportation Systems (ITS). The routing process in these networks is a challenging task due to rapid topology changes, high vehicle mobility and frequent disconnection of links. Therefore, developing an efficient routing protocol that satisfies restriction of delay and minimum overhead is faced with many difficulties and limitations. Also, the detection of malicious vehicles is a significant task in VANETs. To address these issues, using Unmanned Aerial Vehicles (UAVs) can be helpful to cope with these limitations. In this paper, operation of UAVs in ad hoc mode and their cooperation with vehicles in VANETs are studied to help in the process of routing and detection of malicious vehicles. A routing protocol named VRU is proposed that includes two distinct ways of routing of data: (1) delivering packets of data between vehicles with the help of UAVs using a protocol named VRU_vu, and (2) routing packet of data between UAVs using a protocol named VRU_u. The NS-2.35 simulator under Linux Ubuntu 12.04 is utilized in order to appraise the performance of VRU routing components in an urban scenario. Also, VanetMobiSim generator of mobility and MobiSim are used to produce the motions of vehicles and to produce the motions of UAVs, respectively. The performance analysis displays that VRU protocol can improve the</t>
  </si>
  <si>
    <t xml:space="preserve">routing; swarm intelligence; trust; Unmanned Aerial Vehicles (UAVs); Vehicular ad hoc networks (VANETs)</t>
  </si>
  <si>
    <t xml:space="preserve">10.1109/TITS.2020.3041746</t>
  </si>
  <si>
    <t xml:space="preserve">2-s2.0-85099107762</t>
  </si>
  <si>
    <t xml:space="preserve">On the new era of urban traffic monitoring with massive drone data: The pNEUMA large-scale field experiment</t>
  </si>
  <si>
    <t xml:space="preserve">The new era of sharing information and “big data” has raised our expectations to make mobility more predictable and controllable through a better utilization of data and existing resources. The realization of these opportunities requires going beyond the existing traditional ways of collecting traffic data that are based either on fixed-location sensors or GPS devices with low spatial coverage or penetration rates and significant measurement errors, especially in congested urban areas. Unmanned Aerial Systems (UAS) or simply “drones” have been proposed as a pioneering tool of the Intelligent Transportation Systems (ITS) infrastructure due to their unique characteristics, but various challenges have kept these efforts only at a small size. This paper describes the system architecture and preliminary results of a first-of-its-kind experiment, nicknamed pNEUMA, to create the most complete urban dataset to study congestion. A swarm of 10 drones hovering over the central business district of Athens over multiple days to record traffic streams in a congested area of a 1.3 km2 area with more than 100 km-lanes of road network, around 100 busy intersections (signalized or not), many bus stops and close to half a million trajectories. The aim of the experiment is to record traffic streams in a multi-modal congested environment over an urban setting using UAS that can allow the deep investigation of critical traffic phenomena. The pNEUMA experiment develops a prototype system that offer</t>
  </si>
  <si>
    <t xml:space="preserve">Experiment; Multimodal systems; Swarm of drones; Traffic flow modeling; Traffic monitoring; Unmanned aerial systems</t>
  </si>
  <si>
    <t xml:space="preserve">Transportation Research Part C: Emerging Technologies</t>
  </si>
  <si>
    <t xml:space="preserve">10.1016/j.trc.2019.11.023</t>
  </si>
  <si>
    <t xml:space="preserve">2-s2.0-85076670319</t>
  </si>
  <si>
    <t xml:space="preserve">RSOD: Real-time small object detection algorithm in UAV-based traffic monitoring</t>
  </si>
  <si>
    <t xml:space="preserve">The prevailing applications of Unmanned Aerial Vehicles (UAVs) in transportation systems promote the development of object detection methods to collect real-time traffic information through UAVs. However, due to the small size and high density of objects from the aerial perspective, most existing algorithms are difficult to accurately process and extract informative features from the traffic images collected by UAVs. To address the challenges, this paper proposes a new real-time small object detection (RSOD) algorithm based on YOLOv3, which improves the small object detection accuracy by (i) using feature maps of a shallower layer containing more fine-grained information for location prediction; (ii) fusing local and global features of shallow and deep feature maps in Feature Pyramid Network(FPN) to enhance the ability to extract more representative features; (iii)assigning weights to output features of FPN and fusing them adaptively; and(iv) improving the excitation layer in Squeeze-and-Excitation attention mechanism to adjust the feature responses of each channel more precisely. Experimental results show that, when the input size is 608 × 608 × 3, the precision of the proposed RSOD algorithm measured by mAP@0.5 is 43.3% and 52.7% on the Visdrone-DET2018 and UAVDT datasets, which is 3.4% and 5.1% higher than those of YOLOv3, respectively. © 2021, The Author(s), under exclusive licence to Springer Science+Business Media, LLC, part of Springer Nature.</t>
  </si>
  <si>
    <t xml:space="preserve">Feature pyramid network; Small object detection; Squeeze-and-excitation attention mechanism; UAV</t>
  </si>
  <si>
    <t xml:space="preserve">Applied Intelligence</t>
  </si>
  <si>
    <t xml:space="preserve">10.1007/s10489-021-02893-3</t>
  </si>
  <si>
    <t xml:space="preserve">2-s2.0-85118393196</t>
  </si>
  <si>
    <t xml:space="preserve">Vehicle Detection From UAV Imagery With Deep Learning: A Review</t>
  </si>
  <si>
    <t xml:space="preserve">Vehicle detection from unmanned aerial vehicle (UAV) imagery is one of the most important tasks in a large number of computer vision-based applications. This crucial task needed to be done with high accuracy and speed. However, it is a very challenging task due to many characteristics related to the aerial images and the used hardware, such as different vehicle sizes, orientations, types, density, limited datasets, and inference speed. In recent years, many classical and deep-learning-based methods have been proposed in the literature to address these problems. Handed engineering- and shallow learning-based techniques suffer from poor accuracy and generalization to other complex cases. Deep-learning-based vehicle detection algorithms achieved better results due to their powerful learning ability. In this article, we provide a review on vehicle detection from UAV imagery using deep learning techniques. We start by presenting the different types of deep learning architectures, such as convolutional neural networks, recurrent neural networks, autoencoders, generative adversarial networks, and their contribution to improve the vehicle detection task. Then, we focus on investigating the different vehicle detection methods, datasets, and the encountered challenges all along with the suggested solutions. Finally, we summarize and compare the techniques used to improve vehicle detection from UAV-based images, which could be a useful aid to researchers and developers to select the mos</t>
  </si>
  <si>
    <t xml:space="preserve">Autoencoders; computer vision; convolutional neural networks (CNNs); deep learning; generative adversarial networks (GANs); recurrent neural networks (RNNs); unmanned aerial vehicle (UAV); vehicle detection</t>
  </si>
  <si>
    <t xml:space="preserve">IEEE Transactions on Neural Networks and Learning Systems</t>
  </si>
  <si>
    <t xml:space="preserve">10.1109/TNNLS.2021.3080276</t>
  </si>
  <si>
    <t xml:space="preserve">2-s2.0-85107176671</t>
  </si>
  <si>
    <t xml:space="preserve">V2VR: Reliable Hybrid-Network-Oriented V2V Data Transmission and Routing Considering RSUs and Connectivity Probability</t>
  </si>
  <si>
    <t xml:space="preserve">Vehicular ad hoc networks (VANETs) have been widely used in intelligent transportation systems (ITSs) for purposes such as the control of unmanned aerial vehicles (UAVs) and trajectory prediction. However, an efficient and reliable data routing decision scheme is critical for VANETs due to the feature of self-organizing wireless multi-hop communication. Compared with wireless networks, which are unstable and have limited bandwidth, wired networks normally provide longer transmission distances, higher network speeds and greater reliability. To address this problem, this paper proposes a reliable VANET routing decision scheme based on the Manhattan mobility model, which considers the integration of roadside units (RSUs) into wireless and wired modes for data transmission and routing optimization. First, the problems of frequently moving vehicles and network connectivity are analyzed based on road networks and the motion information of vehicle nodes. Second, an improved greedy algorithm for vehicle wireless communication is used for network optimization, and a wired RSU network is also applied. In addition, routing decision analysis is carried out in accordance with the probabilistic model for various transmission ranges by checking the connectivity among vehicles and RSUs. Finally, comprehensive experiments show that our proposed method can support real-time planning and improve network transmission performance compared with other baseline protocol approaches in terms of severa</t>
  </si>
  <si>
    <t xml:space="preserve">data transmission and routing; hybrid network V2VR; network reliability; real-time path planning; VANET routing decision scheme</t>
  </si>
  <si>
    <t xml:space="preserve">10.1109/TITS.2020.2983835</t>
  </si>
  <si>
    <t xml:space="preserve">2-s2.0-85083424171</t>
  </si>
  <si>
    <t xml:space="preserve">Involvement of Surveillance Drones in Smart Cities: A Systematic Review</t>
  </si>
  <si>
    <t xml:space="preserve">Drones, or unmanned aerial vehicles (UAVs), are among the most beneficial and emerging technologies, with a wide range of applications that can support the sustainability concerns of smart cities and ultimately improve citizens' quality of life. The goals of this systematic review were to explore the involvement of surveillance drones in smart cities in terms of application status, application areas, proposed models, and characteristics of drones. We conducted this systematic review based on the preferred reporting items for systematic reviews and meta-analyzes (PRISMA) guidelines. We systematically searched the Web of Science and Scopus for journal articles and conference papers written in English and published up to August 2021. Of the 323 records identified, 43 met the inclusion criteria. Findings showed that surveillance drones were used in seven distinct research fields (transportation, environment, infrastructure, object or people detection, disaster management, data collection, and other applications). Air pollution and traffic monitoring were the dominant application areas. The majority of reviewed models were based on the application of rotary-wing single-drones with the camera as the aerial sensor. Reviewed models showed that the adoption of a single or multiple UAVs, either as a stand-alone technology or integrated with other technologies (e.g., internet of things, wireless sensor networks, convolutional neural networks, artificial intelligence, machine learning, c</t>
  </si>
  <si>
    <t xml:space="preserve">Applications; Drone; Review; Sensor; Smart city; Surveillance</t>
  </si>
  <si>
    <t xml:space="preserve">IEEE Access</t>
  </si>
  <si>
    <t xml:space="preserve">10.1109/ACCESS.2022.3177904</t>
  </si>
  <si>
    <t xml:space="preserve">2-s2.0-85130784183</t>
  </si>
  <si>
    <t xml:space="preserve">High-Resolution Vehicle Trajectory Extraction and Denoising from Aerial Videos</t>
  </si>
  <si>
    <t xml:space="preserve">In recent years, unmanned aerial vehicle (UAV) has become an increasingly popular tool for traffic monitoring and data collection on highways due to its advantage of low cost, high resolution, good flexibility, and wide spatial coverage. Extracting high-resolution vehicle trajectory data from aerial videos taken by a UAV flying over target highway segment becomes a critical research task for traffic flow modeling and analysis. This study aims at proposing a novel methodological framework for automatic and accurate vehicle trajectory extraction from aerial videos. The method starts by developing an ensemble detector to detect vehicles in the target region. Then, the kernelized correlation filter is applied to track vehicles fast and accurately. After that, a mapping algorithm is proposed to transform vehicle positions from the Cartesian coordinates in image to the Frenet coordinates to extract raw vehicle trajectories along the roadway curves. The data denoising is then performed using a wavelet transform to eliminate the biased vehicle trajectory positions. Our method is tested on two aerial videos taken on different urban expressway segments in both peak and non-peak hours on weekdays. The extracted vehicle trajectories are compared with manual calibrated data to testify the framework performance. The experimental results show that the proposed method successfully extracts vehicle trajectories with a high accuracy: the measurement error of Mean Squared Deviation is 2.301 m, </t>
  </si>
  <si>
    <t xml:space="preserve">data quality control; unmanned aerial vehicle; vehicle detection; vehicle tracking; Vehicle trajectory</t>
  </si>
  <si>
    <t xml:space="preserve">10.1109/TITS.2020.3003782</t>
  </si>
  <si>
    <t xml:space="preserve">2-s2.0-85105165267</t>
  </si>
  <si>
    <t xml:space="preserve">Car Detection using Unmanned Aerial Vehicles: Comparison between Faster R-CNN and YOLOv3</t>
  </si>
  <si>
    <t xml:space="preserve">Unmanned Aerial Vehicles are increasingly being used in surveillance and traffic monitoring thanks to their high mobility and ability to cover areas at different altitudes and locations. One of the major challenges is to use aerial images to accurately detect cars and count-them in real-time for traffic monitoring purposes. Several deep learning techniques were recently proposed based on convolution neural network (CNN) for real-time classification and recognition in computer vision. However, their performance depends on the scenarios where they are used. In this paper, we investigate the performance of two state-of-the art CNN algorithms, namely Faster R-CNN and YOLOv3, in the context of car detection from aerial images. We trained and tested these two models on a large car dataset taken from UAVs. We demonstrated in this paper that YOLOv3 outperforms Faster R-CNN in sensitivity and processing time, although they are comparable in the precision metric. © 2019 IEEE.</t>
  </si>
  <si>
    <t xml:space="preserve">Car detection; convolutional neural networks; Faster R-CNN; object detection and recognition; unmanned aerial vehicles; You Only Look Once</t>
  </si>
  <si>
    <t xml:space="preserve">2019 1st International Conference on Unmanned Vehicle Systems-Oman, UVS 2019</t>
  </si>
  <si>
    <t xml:space="preserve">10.1109/UVS.2019.8658300</t>
  </si>
  <si>
    <t xml:space="preserve">2-s2.0-85063932058</t>
  </si>
  <si>
    <t xml:space="preserve">Smart traffic monitoring system using Unmanned Aerial Vehicles (UAVs)</t>
  </si>
  <si>
    <t xml:space="preserve">Road traffic accidents are one of the leading causes of deaths and injuries in the word resulting in the not only loss of precious human lives but also affect the economic resources. According to the World Health Organization (WHO), over 1.35 million people are killed, and over 50 million are injured due to road accidents throughout the world. Unfortunately, as compared to other developing countries with the same ratio of vehicle possession, in Saudi Arabia, the fatalities and injuries are much higher. Every year around 7000–9000 people die, and over 39000 serious injuries occur in road accidents. There is at least one accident happens every minute in Saudi Arabia. To decrease the road traffic accidents, fatalities, and injuries caused by them, the Saudi Ministry of Interior came up with new rules, regulations, and hefty fines. Also, they introduced a new traffic system called the SAHER system. Still, due to the static nature and other limitations of the system, the drivers found loopholes and ways to deceive the system to avoid the fines and not being caught by the system. The most common violation includes excess speed, abrupt deceleration, and distracted driving. In this paper, we propose a smart traffic surveillance system based on Unmanned Aerial Vehicle (UAV) using 5G technology. This traffic monitoring system covers the existing limitations of the SAHER system deployed in KSA. By overcoming the existing limitations and loopholes of the SAHER system, it is observed that</t>
  </si>
  <si>
    <t xml:space="preserve">Airborne; Smart; Traffic monitoring system; Unmanned Aerial Vehicles</t>
  </si>
  <si>
    <t xml:space="preserve">Computer Communications</t>
  </si>
  <si>
    <t xml:space="preserve">10.1016/j.comcom.2020.04.049</t>
  </si>
  <si>
    <t xml:space="preserve">2-s2.0-85083820120</t>
  </si>
  <si>
    <t xml:space="preserve">SLAP-IoD: Secure and Lightweight Authentication Protocol Using Physical Unclonable Functions for Internet of Drones in Smart City Environments</t>
  </si>
  <si>
    <t xml:space="preserve">With the emergence of the concept of smart city and the increasing demands for a range of drones, Internet of Drones (IoD) has achieved a variety of attention by providing multiple benefits in academia and industry. IoD offers numerous services, such as traffic monitoring, environmental monitoring, and disaster management by combining infrastructure, Internet of Things (IoT), and Flying Ad-Hoc Networks (FANET) in smart city environments. However, communication among drones is vulnerable to potential security threats because the sensitive messages in various applications are exchanged via an insecure channel in IoD-based smart city environments. Since IoDs can be operated in unattended environment with minimum human interventions, smart devices (e.g., drones and sensors) deployed in IoD architectures are vulnerable to physical capture attacks. In addition, drones are resource-constrained in terms of computation and communication overheads, and it is not much viable to apply public key cryptography (PKC) that requires high computation and communication overheads. Thus, we design a secure and lightweight authentication protocol using a physical unclonable function (PUF) for IoD to guarantee reliable and useful services in smart city environments, called SLAP-IoD. We prove the security of the SLAP-IoD using informal and formal security analyses using the broadly recognized Real-Or-Random (ROR) random oracle model, and also through the formal security verification using the widely</t>
  </si>
  <si>
    <t xml:space="preserve">authentication; internet of drones (IoD); Physical unclonable functions (PUF); security protocol; smart city</t>
  </si>
  <si>
    <t xml:space="preserve">IEEE Transactions on Vehicular Technology</t>
  </si>
  <si>
    <t xml:space="preserve">10.1109/TVT.2022.3188769</t>
  </si>
  <si>
    <t xml:space="preserve">2-s2.0-85134246689</t>
  </si>
  <si>
    <t xml:space="preserve">Real-Time Traffic Flow Parameter Estimation from UAV Video Based on Ensemble Classifier and Optical Flow</t>
  </si>
  <si>
    <t xml:space="preserve">Recently, the availability of unmanned aerial vehicle (UAV) opens up new opportunities for smart transportation applications, such as automatic traffic data collection. In such a trend, detecting vehicles and extracting traffic parameters from UAV video in a fast and accurate manner is becoming crucial in many prospective applications. However, from the methodological perspective, several limitations have to be addressed before the actual implementation of UAV. This paper proposes a new and complete analysis framework for traffic flow parameter estimation from UAV video. This framework addresses the well-concerned issues on UAV's irregular ego-motion, low estimation accuracy in dense traffic situation, and high computational complexity by designing and integrating four stages. In the first two stages an ensemble classifier (Haar cascade + convolutional neural network) is developed for vehicle detection, and in the last two stages a robust traffic flow parameter estimation method is developed based on optical flow and traffic flow theory. The proposed ensemble classifier is demonstrated to outperform the state-of-the-art vehicle detectors that designed for UAV-based vehicle detection. Traffic flow parameter estimations in both free flow and congested traffic conditions are evaluated, and the results turn out to be very encouraging. The dataset with 20,000 image samples used in this study is publicly accessible for benchmarking at http://www.uwstarlab.org/research.html. © 2000-</t>
  </si>
  <si>
    <t xml:space="preserve">Convolutional neural network; ensemble classifier; Haar cascade; optical flow; traffic flow parameter; UAV video</t>
  </si>
  <si>
    <t xml:space="preserve">10.1109/TITS.2018.2797697</t>
  </si>
  <si>
    <t xml:space="preserve">2-s2.0-85043386609</t>
  </si>
  <si>
    <t xml:space="preserve">The exiD Dataset: A Real-World Trajectory Dataset of Highly Interactive Highway Scenarios in Germany</t>
  </si>
  <si>
    <t xml:space="preserve">Development and safety validation of highly automated vehicles increasingly relies on data and data-driven methods. In processing sensor datasets for environment perception, it is common to use public and commercial datasets for training and evaluating machine learning based systems. For system-level evaluation and safety validation of an automated driving system, real-world trajectory datasets are of great value for several tasks in the process, i.a. for testing in simulation, scenario extraction or training of road user agent models. Ground-based recording methods such as sensor-equipped vehicles or infrastructure sensors are sometimes limited, for instance, due to their field of view. Camera-equipped drones, however, offer the ability to record road users without vehicle-to-vehicle occlusion and without influencing traffic. The highway drone dataset (highD) has shown that the recording method is efficient in terms of cumulative kilometers and has become a benchmark dataset for many research questions. It contains many vehicle interactions due to dense traffic, but lacks merging scenarios, which are challenging for highly automated vehicles. Therefore, we propose this highway drone dataset called exiD, recorded using camera-equipped drones at entries and exits on the German Autobahn. The dataset contains 69 172 road users classified as car, truck and vans and a total amount of more than 16 hours of measurement data. For non-commercial public research, the exiD dataset is av</t>
  </si>
  <si>
    <t xml:space="preserve">10.1109/IV51971.2022.9827305</t>
  </si>
  <si>
    <t xml:space="preserve">2-s2.0-85135383874</t>
  </si>
  <si>
    <t xml:space="preserve">BEST: Blockchain-based secure energy trading in SDN-enabled intelligent transportation system</t>
  </si>
  <si>
    <t xml:space="preserve">Tactile Internet is a fairly recent technological trend associated with the Internet-of-Things (IoT)era, with potential applications in a broad range of industrial, societal and business use cases. The real-time machine-to-machine and human-to-machine interactions (e.g., in unmanned vehicles and the underpinning infrastructure within the smart city ecosystem)in the intelligent transportation sector, for example, contribute to the potential utility of Tactile Internet in this particular sector (and the broader smart city). In the context of unmanned vehicles, such as unmanned aerial vehicles and electric (ground)vehicles, one of several key challenges to its broader utility is how to design a secure energy trading ecosystem that can be used for purposes such as charging and discharging from the supporting smart grids. Most existing approaches in the literature focused on conventional and centralized security mechanisms, which may not be applicable for energy trading in a smart city environment. Moreover, the need for real-time processing for energy trading computation is one of the essential requirements of Tactile Internet. Therefore, to address these challenges, BEST: a Blockchain-based secure energy trading scheme for electric vehicles (EVs)is proposed in this paper. Specifically, in BEST, blockchain is used to validate EVs’ requests in a distributed manner; thus, ensuring resilience against the single point of failure. The miner nodes are selected to validate the requests </t>
  </si>
  <si>
    <t xml:space="preserve">5G; Blockchain; Energy trading; Intelligent transportation system; Smart city; Smart nation; Software-defined networking; Tactile Internet</t>
  </si>
  <si>
    <t xml:space="preserve">Computers and Security</t>
  </si>
  <si>
    <t xml:space="preserve">10.1016/j.cose.2019.05.006</t>
  </si>
  <si>
    <t xml:space="preserve">2-s2.0-85066274740</t>
  </si>
  <si>
    <t xml:space="preserve">The rounD Dataset: A Drone Dataset of Road User Trajectories at Roundabouts in Germany</t>
  </si>
  <si>
    <t xml:space="preserve">The development and validation of automated vehicles involves a large number of challenges to be overcome. Due to the high complexity, many classic approaches quickly reach their limits and data-driven methods become necessary. This creates an unavoidable need for trajectory datasets of road users in all relevant traffic scenarios. As these trajectories should include naturalistic and diverse behavior, they have to be recorded in public traffic. Roundabouts are particularly interesting because of the density of interaction between road users, which must be considered by an automated vehicle for behavior planning. We present a new dataset of road user trajectories at roundabouts in Germany. Using a camera-equipped drone, traffic at a total of three different roundabouts in Germany was recorded. The tracks consisting of positions, headings, speeds, accelerations and classes of objects were extracted from recorded videos using deep neural networks. The dataset contains a total of six hours of recordings with more than 13 746 road users including cars, vans, trucks, buses, pedestrians, bicycles and motorcycles. In order to make the dataset as accessible as possible for tasks like scenario classification, road user behavior prediction or driver modeling, we provide source code for parsing and visualizing the dataset as well as maps of the recording sites. For non-commercial public research, the dataset is available free of charge at https://www.round-dataset.com © 2020 IEEE.</t>
  </si>
  <si>
    <t xml:space="preserve">2020 IEEE 23rd International Conference on Intelligent Transportation Systems, ITSC 2020</t>
  </si>
  <si>
    <t xml:space="preserve">10.1109/ITSC45102.2020.9294728</t>
  </si>
  <si>
    <t xml:space="preserve">2-s2.0-85099665508</t>
  </si>
  <si>
    <t xml:space="preserve">Recent Research Progress of Unmanned Aerial Vehicle Regulation Policies and Technologies in Urban Low Altitude</t>
  </si>
  <si>
    <t xml:space="preserve">With the rapid expansion in the number of Unmanned Aircraft Vehicles (UAVs) available and the development of modern technologies, the commercial applications of UAVs in urban areas, such as urban remote sensing (RS), express services, urban road traffic monitoring, urban police security, urban air shows and so on, have increased greatly. However, most UAVs, especially light and small civil UAVs, have been operating in low-altitude airspace, and a conflict may exist between increasing the number of UAVs and the limited low airspace. To promote low-altitude airspace resource development and to standardize the operation and management of UAVs in urban regions, some global laws and regulations and key technologies for urban low-altitude applications of UAVs have been implemented. This paper reviews the development of current policies and key technologies concerning safe and efficient operations of the light-and-small civil UAVs in low altitude in urban areas. Discussions are made progressively on measures and methods of airspace restriction, airspace structuring and air route planning in China primarily and the rest of world. After surveying the practical industry tests and the initial studies of air routes, the survey results indicate that the construction of air route networks is a scientific and effective measure to standardize and improve the efficiency of low-altitude UAV operations. From the view point of safety and efficiency, the most valuable direction for UAV regulation</t>
  </si>
  <si>
    <t xml:space="preserve">Low-altitude airspace; RS and GIS for UAV regulation; UAV low-altitude air routes; UAV regulation technology and policy; Urban region</t>
  </si>
  <si>
    <t xml:space="preserve">10.1109/ACCESS.2020.2987622</t>
  </si>
  <si>
    <t xml:space="preserve">2-s2.0-85084828765</t>
  </si>
  <si>
    <t xml:space="preserve">UAV-Assisted RIS for Future Wireless Communications: A Survey on Optimization and Performance Analysis</t>
  </si>
  <si>
    <t xml:space="preserve">Reconfigurable intelligent surfaces (RIS), a device made of low-cost meta-surfaces that can reflect or refract the signals in the desired manner, have the immense ability to enhance the data transmission from the sender to the receiver. The concept of RIS is inspired by a smart radio environment or programmable radio environment. The introduction of this device in wireless communications aids in reducing the hardware requirements, energy consumption, and signal processing complexity. The integration of this device with various emerging technologies such as multiple-input multiple-output (MIMO) systems, non-orthogonal multiple access (NOMA) technique, physical layer security, etc., has increased its potentiality in terms of performance enhancement. One such integration could be studied, i.e. RIS-assisted unmanned aerial vehicles (UAVs). The UAVs exhibit aiding capability in various services to our society such as real-time data collection, traffic monitoring, military operations surveillance, medical assistance, and goods delivery. Despite the positive appeal, the UAV has its limitations such as fuel efficacy, environment disturbances, limited network capability, etc. Considering these scenarios, the RIS can provide assistance to UAVs to enhance their performance when integrated. There is a limited number of articles and researches that consider UAV-assisted RIS systems. This article provides a detailed survey on RIS-assisted UAV systems considering multiple contexts such as o</t>
  </si>
  <si>
    <t xml:space="preserve">deep reinforcement learning (DRL); efficiency enhancement; Internet of Things (IoT); mmWave and THz communications; NOMA; physical layer security (PLS); Reconfigurable intelligent surface; UAV communications</t>
  </si>
  <si>
    <t xml:space="preserve">10.1109/ACCESS.2022.3149054</t>
  </si>
  <si>
    <t xml:space="preserve">2-s2.0-85124213693</t>
  </si>
  <si>
    <t xml:space="preserve">An UAV-Enabled Intelligent Connected Transportation System With 6G Communications for Internet of Vehicles</t>
  </si>
  <si>
    <t xml:space="preserve">6G networks provide faster communication for connected vehicles. These vehicles are connected to the Internet, forming the Internet of Vehicles (IoV). Due to the development of Intelligent Transportation Systems (ITS), more and more vehicles are deployed with data-intensive applications. These applications interact heavily with IoT devices at the edge of the network, which causes IoT devices to consume a lot of limited and valuable power. Task offloading can help overcome resource constraints of IoT devices by offloading task to edge server which has sufficient computational power in ITS. Unmanned Aerial Vehicles (UAV) is a promising solution by serving as Computing-Communications Edge Server (CCES) for resource-constrained IoT devices that there is no edge server nearby that can offload task. Due to the IoT devices' limited battery capacity and UAV energy budget, it is a challenging issue to reduce the energy for task offloading in UAV-enable edge network. In this paper, an UAV-enabled Computing-Communications Intelligent Offloading (UAV-CCIO) scheme is proposed to offload task energy-efficiently. First, some nodes with a large amount of data are selected as Task Gathering Nodes (TGNs), and TGNs collect all the tasks of the left nodes. In this way, the UAV can only fly the TGNs and so all the IoT devices' tasks can be offloaded. The distance needed for the UAV can be greatly reduced and energy is saved. On the other hand, tasks that route to TGNs have a relatively small amou</t>
  </si>
  <si>
    <t xml:space="preserve">6G communications; edge server; intelligent connected transportation systems; Internet of Vehicles; task offloading; UAV</t>
  </si>
  <si>
    <t xml:space="preserve">10.1109/TITS.2021.3122567</t>
  </si>
  <si>
    <t xml:space="preserve">2-s2.0-85118574601</t>
  </si>
  <si>
    <t xml:space="preserve">A Novel UAV-Enabled Data Collection Scheme for Intelligent Transportation System through UAV Speed Control</t>
  </si>
  <si>
    <t xml:space="preserve">The rapid and convenient travel of people and the timely transportation of goods depend on the correct decision of the Intelligent Transportation Systems (ITS). Due to the decision-making of ITS requires a large amount of data to support, UAV-enabled periodic data collection is an effective method. However, due to the limited resources of UAV, UAV cannot directly collect data from all storage devices, resulting in unfair data collection. Therefore, we propose a UAV Speed Control based Fairness Data Collection (USCFDC) scheme. First, since the fairness of data collection will affect the decision-making of ITS, a framework for controlling the flight speed of the UAV is proposed to improve the fairness of data collection. The flight speed of UAV will slow down in areas with a large number of nodes, thereby improving the fairness of data collection. Second, a novel method is proposed to maximize the amount of data collected by UAV from each node. With this method, the value of the amount of data will be used as the dichotomous value in the dichotomy algorithm, and the UAV must collect a certain amount of data from each node. The upper and lower limits of the dichotomy algorithm are adjusted according to the time duration for UAV to collect data. Compared with previous schemes, the fairness of data collection can be improved by a maximum of 15.89% under the same flight time of UAV. Besides, the energy consumption is reduced by 49.31%-52.55% and the flight time of the UAV is reduce</t>
  </si>
  <si>
    <t xml:space="preserve">control solutions; data collection; Intelligent transportation system; smart city; UAV</t>
  </si>
  <si>
    <t xml:space="preserve">10.1109/TITS.2020.3040557</t>
  </si>
  <si>
    <t xml:space="preserve">2-s2.0-85098748029</t>
  </si>
  <si>
    <t xml:space="preserve">Fine-tuned YOLOv5 for real-time vehicle detection in UAV imagery: Architectural improvements and performance boost</t>
  </si>
  <si>
    <t xml:space="preserve">Nowadays, Unmanned Aerial Vehicles (UAVs) have become useful for various civil applications, such as traffic monitoring and smart parkings, where real-time vehicle detection and classification is one of the key tasks. There are many challenges in detecting vehicles including small size objects and the variety in the UAV's altitude and angle. As classic object detection solutions have limitations in confronting these challenges, recent methods are developed based on convolutional neural networks and their ability in effective feature learning. Due to the computational complexity in these networks and the need for accurate and real-time object detection, balancing the accuracy and inference speed is obligatory for efficiency. This paper aims to propose an accurate, efficient and real-time vehicle detection network based on the successful YOLOv5 object detection model. This is done by improving the structure of the model, adding attention mechanism and using an adaptive bounding box regression loss function. Also, considering the need for real-time inference speed, the depth and width of the model was balanced and ghost convolution was incorporated into the Neck unit to further improve the balance between accuracy and inference speed. The proposed method is evaluated on three different urban UAV imagery datasets, VisDrone, CARPK and VAID, specifically intended for civil applications. Comparing the obtained results from the proposed method with YOLOv5 baseline models, it achieved</t>
  </si>
  <si>
    <t xml:space="preserve">Object detection; Real-time; UAV imagery; Vehicle detection; YOLOv5</t>
  </si>
  <si>
    <t xml:space="preserve">Expert Systems with Applications</t>
  </si>
  <si>
    <t xml:space="preserve">10.1016/j.eswa.2023.120845</t>
  </si>
  <si>
    <t xml:space="preserve">2-s2.0-85162112316</t>
  </si>
  <si>
    <t xml:space="preserve">AU-AIR: A Multi-modal Unmanned Aerial Vehicle Dataset for Low Altitude Traffic Surveillance</t>
  </si>
  <si>
    <t xml:space="preserve">Unmanned aerial vehicles (UAVs) with mounted cameras have the advantage of capturing aerial (bird-view) images. The availability of aerial visual data and the recent advances in object detection algorithms led the computer vision community to focus on object detection tasks on aerial images. As a result of this, several aerial datasets have been introduced, including visual data with object annotations. UAVs are used solely as flying-cameras in these datasets, discarding different data types regarding the flight (e.g., time, location, internal sensors). In this work, we propose a multi-purpose aerial dataset (AU-AIR) that has multi-modal sensor data (i.e., visual, time, location, altitude, IMU, velocity) collected in real-world outdoor environments. The AU-AIR dataset includes meta-data for extracted frames (i.e., bounding box annotations for traffic-related object category) from recorded RGB videos. Moreover, we emphasize the differences between natural and aerial images in the context of object detection task. For this end, we train and test mobile object detectors (including YOLOv3-Tiny and MobileNetv2-SSDLite) on the AU-AIR dataset, which are applicable for real-time object detection using on-board computers with UAVs. Since our dataset has diversity in recorded data types, it contributes to filling the gap between computer vision and robotics. The dataset is available at https://bozcani.github.io/auairdataset. © 2020 IEEE.</t>
  </si>
  <si>
    <t xml:space="preserve">Proceedings - IEEE International Conference on Robotics and Automation</t>
  </si>
  <si>
    <t xml:space="preserve">10.1109/ICRA40945.2020.9196845</t>
  </si>
  <si>
    <t xml:space="preserve">2-s2.0-85092700035</t>
  </si>
  <si>
    <t xml:space="preserve">Age of Information Aware Trajectory Planning of UAVs in Intelligent Transportation Systems: A Deep Learning Approach</t>
  </si>
  <si>
    <t xml:space="preserve">Unmanned aerial vehicles (UAVs) are envisioned to play a key role in intelligent transportation systems to complement the communication infrastructure in future smart cities. UAV-assisted vehicular networking research typically adopts throughput and latency as the main performance metrics. These conventional metrics, however, are not adequate to reflect the freshness of the information, an attribute that has been recently identified as a critical requirement to enable services such as autonomous driving and accident prevention. In this paper, we consider a UAV-assisted single-hop vehicular network, wherein sensors (e.g., LiDARs and cameras) on vehicles generate time sensitive data streams, and UAVs are used to collect and process this data while maintaining a minimum age of information (AoI). We aim to jointly optimize the trajectories of UAVs and find scheduling policies to keep the information fresh under minimum throughput constraints. The formulated optimization problem is shown to be mixed integer non-linear program (MINLP) and generally hard to be solved. Motivated by the success of machine learning (ML) techniques particularly deep learning in solving complex problems with low complexity, we reformulate the trajectories and scheduling policies problem as a Markov decision process (MDP) where the system state space considers the vehicular network dynamics. Then, we develop deep reinforcement learning (DRL) to learn the vehicular environment and its dynamics in order to </t>
  </si>
  <si>
    <t xml:space="preserve">actor-critic algorithm, vehicular networks; age-of-information; scheduling; Unmanned aerial vehicle (UAV)</t>
  </si>
  <si>
    <t xml:space="preserve">10.1109/TVT.2020.3023861</t>
  </si>
  <si>
    <t xml:space="preserve">2-s2.0-85096208437</t>
  </si>
  <si>
    <t xml:space="preserve">Analyzing differences of highway lane-changing behavior using vehicle trajectory data</t>
  </si>
  <si>
    <t xml:space="preserve">Analyzing fine-resolution lane-changing behavior is of great significance in the traffic flow modeling and safety assessment. The fact that lane-changing behavior varies over different environment and operation factors poses great challenges for lane-changing behavior modeling and analysis. To explore the differences of highway lane-changing behavior in complicated scenarios, the analysis of this study stems from a large volume of lane-changing trajectories (i.e., 6506 lane-changing trajectories) collected from the Highway Drone (HighD) dataset. In real-world scenarios, to identify and extract lane-changing start and end points of lane-changing behavior from trajectories, we present a fusion method by using frame interval and lateral displacement variation in trajectory data, which can be calibrated by the visualization. The empirical results show that: (a) the relative error between the extracted lane-changing time and real one is less than 4%; (b) the lane-changing time is ranged from 2.88 s to 7.32 s, while the lane-changing speed is ranged from 18.83 m/s to 43.30 m/s. For the difference analysis, we use the tests of statistical significance and heatmaps to analyze the differences of lane-changing behavior under complicated scenarios that involve different lane numbers, lane-changing directions, vehicle types, and speed limit condition. The results demonstrate that the lane-changing behavior varies over different scenarios significantly. Overall, the systematical analysis </t>
  </si>
  <si>
    <t xml:space="preserve">Difference analysis; Heatmaps; Highway traffic flow modeling; Lane-changing behavior; Tests of statistical significance; Traffic safety</t>
  </si>
  <si>
    <t xml:space="preserve">Physica A: Statistical Mechanics and its Applications</t>
  </si>
  <si>
    <t xml:space="preserve">10.1016/j.physa.2023.128980</t>
  </si>
  <si>
    <t xml:space="preserve">2-s2.0-85163188866</t>
  </si>
  <si>
    <t xml:space="preserve">Machine learning for wireless connectivity and security of cellular-connected uavs</t>
  </si>
  <si>
    <t xml:space="preserve">Cellular-connected UAVs will inevitably be integrated into future cellular networks as new aerial mobile users. Providing cellular connectivity to UAVs will enable a myriad of applications ranging from online video streaming to medical delivery. However, to enable reliable wireless connectivity for the UAVs as well as secure operation, various challenges need to be addressed such as interference management, mobility management and handover, cyber-physical attacks, and authentication. In this article, the goal is to expose the wireless and security challenges that arise in the context of UAV-based delivery systems, UAV-based real-time multimedia streaming, and UAV-enabled intelligent transportation systems. To address such challenges, ANN-based solution schemes are introduced. The introduced approaches enable UAVs to adaptively exploit wireless system resources while guaranteeing secure operation in real time. Preliminary simulation results show the benefits of the introduced solutions for each of the aforementioned cellular-connected UAV application use cases. © 2002-2012 IEEE.</t>
  </si>
  <si>
    <t xml:space="preserve">IEEE Wireless Communications</t>
  </si>
  <si>
    <t xml:space="preserve">10.1109/MWC.2018.1800155</t>
  </si>
  <si>
    <t xml:space="preserve">2-s2.0-85061782577</t>
  </si>
  <si>
    <t xml:space="preserve">Planning robust drone-truck delivery routes under road traffic uncertainty</t>
  </si>
  <si>
    <t xml:space="preserve">In this paper, we show the potential of a drone-truck logistics system to provide fast last-mile delivery services. In the system, a truck and a drone work in tandem to serve customers within pre-specified delivery time windows. Since the uncertainty in the ground traffic network can not only fail a service promise but also expose the drone to danger, we focus on mitigating such risks when designing the routing plan. In particular, we investigate the robust drone-truck delivery problem (RDTDP) that seeks a robust joint route for the truck-and-drone tandem to maximize the profit. We develop an exact branch-and-price (B&amp;P) solution approach that can solve RDTDP instances, both randomly generated and collected from real-life data, with up to 40 service requests. In a numerical study, we demonstrate that the solution obtained with our proposed B&amp;P approach is significantly more robust than the one obtained without considering any uncertainty. In particular, while maintaining a comparable mean value in the solution quality measures, the robust solution features a variance up to 58% smaller and a feasibility ratio (i.e., on-time performance) up to 90% higher than the deterministic solution. These insights suggest that the robust route can be carried out much more frequently in practical usage. © 2023 Elsevier B.V.</t>
  </si>
  <si>
    <t xml:space="preserve">Branch-and-price; Drone; Last-mile delivery; Robust optimization; Transportation</t>
  </si>
  <si>
    <t xml:space="preserve">European Journal of Operational Research</t>
  </si>
  <si>
    <t xml:space="preserve">10.1016/j.ejor.2023.02.031</t>
  </si>
  <si>
    <t xml:space="preserve">2-s2.0-85150033191</t>
  </si>
  <si>
    <t xml:space="preserve">A Provable and Privacy-Preserving Authentication Scheme for UAV-Enabled Intelligent Transportation Systems</t>
  </si>
  <si>
    <t xml:space="preserve">In this article, unmanned aerial vehicles (UAVs) are expected to play a key role in improving the safety and reliability of transportation systems, particularly where data traffic is nonhomogeneous and nonstationary. However, heterogeneous data sharing raises plenty of security and privacy concerns, which may keep UAVs out of future intelligent transportation systems (ITS). Some of the well-known security and privacy issues in the UAV-enabled ITS ecosystem include tracking UAVs and vehicle locations, unauthorized access to data, and message modification. Therefore, in this article, we contribute to the sum of knowledge by combining the hyperelliptic curve cryptography (HECC) techniques, digital signature, and hash function to present a privacy-preserving authentication scheme. The security features of the proposed scheme are assessed using formal security analysis methods, i.e., real-or- random (ROR) oracle model. To examine the performance of the proposed scheme, a comparison with other existing schemes has been carried out. The results reveal that the proposed scheme outperforms its counterpart schemes in terms of computation and communication costs.  © 2005-2012 IEEE.</t>
  </si>
  <si>
    <t xml:space="preserve">5G; hyperelliptic curve cryptography (HECC); intelligent transportation systems (ITS); privacy; security; unmanned aerial vehicles (UAVs)</t>
  </si>
  <si>
    <t xml:space="preserve">IEEE Transactions on Industrial Informatics</t>
  </si>
  <si>
    <t xml:space="preserve">10.1109/TII.2021.3101651</t>
  </si>
  <si>
    <t xml:space="preserve">2-s2.0-85112605190</t>
  </si>
  <si>
    <t xml:space="preserve">UAV-Assisted Content Delivery in Intelligent Transportation Systems-Joint Trajectory Planning and Cache Management</t>
  </si>
  <si>
    <t xml:space="preserve">Unmanned Aerial Vehicles (UAVs) are gaining growing interests due to the paramount roles they play, particularly these days, in enabling new services that help modernize our transportation, supply chain, search and rescue, among others. They are capable of positively influencing wireless systems through enabling and fostering emerging technologies such as autonomous driving, vertical industries, virtual reality and so many others. The Internet of Vehicles is a prime sector benefiting from the services offered by future cellular systems in general and UAVs in particular, and this paper considers the problem of content delivery to vehicles on road segments with either overloaded or no available communication infrastructure. Incoming vehicles demand service from a library of contents that is partially cached at the UAV; the content of the library is also assumed to change as new vehicles carrying more popular contents arrive. Each inbound vehicle makes a request and the UAV decides on its best trajectory to provide service while maximizing a certain operational utility. Given the energy limitation at the UAV, we seek an energy efficient solution. Hence, our problem consists of jointly finding caching decisions, UAV trajectory and radio resource allocation which is formulated mathematically as a Mixed Integer Non-Linear Problem (MINLP). However, owing to uncertainties in the environment (e.g., random arrival of vehicles, their requests for contents and their existing contents), i</t>
  </si>
  <si>
    <t xml:space="preserve">Deep Reinforcement Learning; resource allocation; UAVs' trajectories; Unmanned aerial vehicle (UAV); Vehicular Ad-hoc Networks (VANETs)</t>
  </si>
  <si>
    <t xml:space="preserve">10.1109/TITS.2020.3020220</t>
  </si>
  <si>
    <t xml:space="preserve">2-s2.0-85110753386</t>
  </si>
  <si>
    <t xml:space="preserve">Secure and Efficient Authenticated Key Management Scheme for UAV-Assisted Infrastructure-Less IoVs</t>
  </si>
  <si>
    <t xml:space="preserve">Nowadays, with the purpose of fulfilling the increasing demands for emerging extensive and ubiquitous accessibility to modern intelligent transportation systems (ITS), the conventional vehicle-to-everything (V2X) paradigms are progressively evolving into the Internet of vehicles (IoVs). As of now, substantial enhancements in IoV technologies have been witnessed, particularly in the era of vehicular data secure exchange and user privacy protection. On the other hand, unmanned aerial vehicles (UAVs) are envisioned to provide scalable and adaptive stereoscopic service coverage for IoV implementations. However, the existing approaches intended for the common scenarios mainly rely on the well-established local IoV infrastructures, whereas the specific infrastructure-less IoVs with dysfunctional edge facilities have not been properly investigated. Additionally, the related UAV-assisted IoV schemes still fail to independently perform the secure vehicular data transmission but rather as the auxiliary strategies due to the dependence on the assistance of local edge deployment. Therefore, the practical requirements of reliability and scalability in real-world IoV circumstances cannot be satisfied. In this paper, an efficient UAV certificateless group authentication mechanism is developed in order to facilitate the secure data transmission of infrastructure-less IoV. The proposed design deploys the tethered UAV (TUAV) as the specific mobilized base station so that the active edge IoV in</t>
  </si>
  <si>
    <t xml:space="preserve">authentication; group key distribution; Internet of Vehicles (IoVs); key updating; unmanned aerial vehicle (UAV)</t>
  </si>
  <si>
    <t xml:space="preserve">10.1109/TITS.2023.3252082</t>
  </si>
  <si>
    <t xml:space="preserve">2-s2.0-85151501526</t>
  </si>
  <si>
    <t xml:space="preserve">A crash prediction method based on bivariate extreme value theory and video-based vehicle trajectory data</t>
  </si>
  <si>
    <t xml:space="preserve">Traditional statistical crash prediction models oftentimes suffer from poor data quality and require large amount of historical data. In this paper, we propose a crash prediction method based on a bivariate extreme value theory (EVT) framework, considering both drivers’ perception-reaction failure and failure to proper evasive actions. An unmanned aerial vehicle (UAV) was utilized to collect videos of ten intersections in Fengxian, China, at representative time periods. High-resolution vehicle trajectory data were extracted by a Kanade-Lucas-Tomasi (KLT) technique, based on four detailed metrics were derived including Time-to-accident (TA), Post-encroachment Time (PET), minimum Time-to-collision (mTTC), and Maximum Deceleration Rate (MaxD). TA was expected to capture the chance of perception-reaction failure, while other three metrics were used to measure the probability of failure to proper evasive actions. Univariate EVT models were applied to obtain marginal crash probability based on each metric. Bivariate EVT models were developed to obtain joint crash probability based on three pairs: TA and mTTC, TA and PET, and TA and MaxD. Thus, union crash probability within observation periods can be derived and the annual crash frequency of each intersection was predicted. The predictions were compared to actual annual crash frequencies, using multiple tests. The findings are three-folds: 1. The best conflict metrics for angle and rear-end crash predictions were different; 2. Biva</t>
  </si>
  <si>
    <t xml:space="preserve">Bivariate extreme value theory; Crash prediction; Traffic conflict; Video-based vehicle trajectory</t>
  </si>
  <si>
    <t xml:space="preserve">Accident Analysis and Prevention</t>
  </si>
  <si>
    <t xml:space="preserve">10.1016/j.aap.2018.12.013</t>
  </si>
  <si>
    <t xml:space="preserve">2-s2.0-85059119957</t>
  </si>
  <si>
    <t xml:space="preserve">Drone delivery from trucks: Drone scheduling for given truck routes</t>
  </si>
  <si>
    <t xml:space="preserve">Last mile deliveries with unmanned aerial vehicles (also denoted as drones) are seen as one promising idea to reduce excessive road traffic. To overcome the difficulties caused by the comparatively short operating ranges of drones, an innovative concept suggests to apply trucks as mobile landing and take-off platforms. In this context, the paper on hand schedules the delivery to customers by drones for given truck routes. Given a fixed sequence of stops constituting a truck route and a set of customers to be supplied, we aim at a drone schedule (i.e., a set of trips each defining a drone's take-off and landing stop and the customer serviced), such that all customers are supplied and the total duration of the delivery tour is minimized. We differentiate whether multiple drones or just a single one are placed on a truck and whether or not take-off and landing stops have to be identical. We provide an analysis of computational complexity for each resulting subproblem, introduce efficient mixed-integer programs, and compare all cases with regard to their potential of reducing the delivery effort on the last mile. © 2018 Wiley Periodicals, Inc.</t>
  </si>
  <si>
    <t xml:space="preserve">city logistics; scheduling; transportation; unmanned aerial vehicles</t>
  </si>
  <si>
    <t xml:space="preserve">Networks</t>
  </si>
  <si>
    <t xml:space="preserve">10.1002/net.21847</t>
  </si>
  <si>
    <t xml:space="preserve">2-s2.0-85054530028</t>
  </si>
  <si>
    <t xml:space="preserve">SIND: A Drone Dataset at Signalized Intersection in China</t>
  </si>
  <si>
    <t xml:space="preserve">Intersection is one of the most challenging scenarios for autonomous driving tasks. Due to the complexity and stochasticity, essential applications (e.g., behavior modeling, motion prediction, safety validation, etc.) at intersections rely heavily on data-driven techniques. Thus, there is an intense demand for trajectory datasets of traffic participants (TPs) in intersections. Currently, most intersections in urban areas are equipped with traffic lights. However, there is not yet a large-scale, high-quality, publicly available trajectory dataset for signalized intersections. Therefore, in this paper, a typical two-phase signalized intersection is selected in Tianjin, China. Besides, a pipeline is designed to construct a Signalized INtersection Dataset (SIND), which contains 7 hours of recording including over 13,000 TPs with 7 types. Then, the behaviors of traffic light violations in SIND are recorded. Furthermore, the SIND is also compared with other similar works. The features of the SIND can be summarized as follows: 1) SIND provides more comprehensive information, including traffic light states, motion parameters, High Definition (HD) map, etc. 2) The category of TPs is diverse and characteristic, where the proportion of vulnerable road users (VRU s) is up to 62.6% 3) Multiple traffic light violations of non-motor vehicles are shown. We believe that SIND would be an effective supplement to existing datasets and can promote related research on autonomous driving. The datas</t>
  </si>
  <si>
    <t xml:space="preserve">10.1109/ITSC55140.2022.9921959</t>
  </si>
  <si>
    <t xml:space="preserve">2-s2.0-85141833587</t>
  </si>
  <si>
    <t xml:space="preserve">AI-based energy-efficient path planning of multiple logistics UAVs in intelligent transportation systems</t>
  </si>
  <si>
    <t xml:space="preserve">In the context of Industry 5.0, artificial intelligence (AI)-based logistics Unmanned Aerial Vehicles (UAVs) have been widely applied in intelligent transportation systems due to their advantages of faster speed, lower cost, more environment-friendly, and less manpower needed. Whereas, most of the existing logistics UAV delivery models have not taken the energy consumption of the logistics UAVs and mixed time windows of the customers, which leads to their models cannot be applied in practical transportation systems. Therefore, we propose to minimize the total energy cost of multiple logistics UAVs during the customized products delivery period for a smart transportation system. Taking the energy consumption variation of the logistics UAVs, mixed time windows of the customers, as well as simultaneous delivery and pick up into consideration, we formulate a cooperative path planning problem via jointly optimizing the route of the logistics UAVs and the service allocation. To solve this large-scale integer programming problem, we employ the Large Neighborhood Search Algorithm (LNS) to accelerate the convergence rate of Genetic Algorithm (GA), and then develop an improved GA based cooperative path planning algorithm (IGCPA). The optimization procedure of the proposed algorithm IGCPA is divided into two phases, using the GA crossover operator and variational operator in the global search phase and LNS operator in the local search phase, and validating the integer programming model </t>
  </si>
  <si>
    <t xml:space="preserve">AI-based logistics UAV; Energy consumption; Hybrid time window; Intelligent transportation systems; Path planning</t>
  </si>
  <si>
    <t xml:space="preserve">10.1016/j.comcom.2023.04.032</t>
  </si>
  <si>
    <t xml:space="preserve">2-s2.0-85160006811</t>
  </si>
  <si>
    <t xml:space="preserve">YOLO-ViT-Based Method for Unmanned Aerial Vehicle Infrared Vehicle Target Detection</t>
  </si>
  <si>
    <t xml:space="preserve">The detection of infrared vehicle targets by UAVs poses significant challenges in the presence of complex ground backgrounds, high target density, and a large proportion of small targets, which result in high false alarm rates. To alleviate these deficiencies, a novel YOLOv7-based, multi-scale target detection method for infrared vehicle targets is proposed, which is termed YOLO-ViT. Firstly, within the YOLOV7-based framework, the lightweight MobileViT network is incorporated as the feature extraction backbone network to fully extract the local and global features of the object and reduce the complexity of the model. Secondly, an innovative C3-PANet neural network structure is delicately designed, which adopts the CARAFE upsampling method to utilize the semantic information in the feature map and improve the model’s recognition accuracy of the target region. In conjunction with the C3 structure, the receptive field will be increased to enhance the network’s accuracy in recognizing small targets and model generalization ability. Finally, the K-means++ clustering method is utilized to optimize the anchor box size, leading to the design of anchor boxes better suited for detecting small infrared targets from UAVs, thereby improving detection efficiency. The present article showcases experimental findings attained through the use of the HIT-UAV public dataset. The results demonstrate that the enhanced YOLO-ViT approach, in comparison to the original method, achieves a reduction in</t>
  </si>
  <si>
    <t xml:space="preserve">deep learning; infrared small target; unmanned aerial vehicle target detection; vehicle detection; Yolov7</t>
  </si>
  <si>
    <t xml:space="preserve">Remote Sensing</t>
  </si>
  <si>
    <t xml:space="preserve">10.3390/rs15153778</t>
  </si>
  <si>
    <t xml:space="preserve">2-s2.0-85167820425</t>
  </si>
  <si>
    <t xml:space="preserve">UAV-Aided Energy-Efficient Edge Computing Networks: Security Offloading Optimization</t>
  </si>
  <si>
    <t xml:space="preserve">Unmanned aerial vehicles (UAVs) are widely applied for service provisioning in many domains, such as topographic mapping and traffic monitoring. These applications are complicated with huge computational resources and extremely low-latency requirements. However, the moderate computational capability and limited energy restrict the local data processing for the UAV. Fortunately, this impediment may be mitigated by utilizing wireless power transfer (WPT) and employing the multiaccess edge computing (MEC) paradigm for offloading demanding computational tasks from the UAV via wireless communications. Particularly, the offloaded information may become compromising by the eavesdropper (Eve) when UAVs offload the computational tasks to MEC servers. To address this issue, a UAV-MEC (UMEC) system with energy harvesting (EH) is studied, where the full-duplex protocol is considered to realize simultaneously receiving confidential data from the UAV and broadcasting the control instructions. It is worth noting that in our proposed scheme, these control instructions also serve as the artificial interference to confuse the Eve. To improve the energy efficiency for offloading, the computational communication resource allocation is optimized to minimize the energy consumption for UAV with the consumed and harvested energy. Specially, the worst case secrecy offloading rate and computation-latency constraint are considered, to further enhance the reliability and security of the proposed system.</t>
  </si>
  <si>
    <t xml:space="preserve">Computation offloading; multiaccess edge computing (MEC); physical-layer security (PLS); resource allocation; unmanned aerial vehicle (UAV)</t>
  </si>
  <si>
    <t xml:space="preserve">IEEE Internet of Things Journal</t>
  </si>
  <si>
    <t xml:space="preserve">10.1109/JIOT.2021.3103391</t>
  </si>
  <si>
    <t xml:space="preserve">2-s2.0-85123826063</t>
  </si>
  <si>
    <t xml:space="preserve">Pixel-level road crack detection in UAV remote sensing images based on ARD-Unet</t>
  </si>
  <si>
    <t xml:space="preserve">Crack is the main manifestation of road damage, and its further deterioration will affect road traffic. The timely detection of road cracks is of great significance for ensuring road safety. In this work, starting from UAV remote sensing images,a pixel-by-pixel crack detection method named ARD-Unet is proposed based on U-Net combined with Depth Separable Residual Block (DR-Block), Atrous Spatial Pyramid Fusion Attention Module (ASAM) and Receptive Field Block (RFB). We used UAV to construct a remote sensing road crack dataset containing 1046 high-quality images. The proposed method achieves 76.41 % MIOU and 74.24 % F1-Score on the self-made dataset. Finally, we combine ARD-Unet with UAV to build a road crack detection UAV IoT system, which has been tested in practical applications and achieved excellent performance. Experiments show that ARD-Unet is effective for road crack detection in remote sensing images. © 2023 Elsevier Ltd</t>
  </si>
  <si>
    <t xml:space="preserve">Multi-scale features; Pixel-by-pixel detection; Remote sensing image; Road crack</t>
  </si>
  <si>
    <t xml:space="preserve">Measurement: Journal of the International Measurement Confederation</t>
  </si>
  <si>
    <t xml:space="preserve">10.1016/j.measurement.2023.113252</t>
  </si>
  <si>
    <t xml:space="preserve">2-s2.0-85163896056</t>
  </si>
  <si>
    <t xml:space="preserve">ASFF-YOLOv5: Multielement Detection Method for Road Traffic in UAV Images Based on Multiscale Feature Fusion</t>
  </si>
  <si>
    <t xml:space="preserve">Road traffic elements are important components of roads and the main elements of structuring basic traffic geographic information databases. However, the following problems still exist in the detection and recognition of road traffic elements: dense elements, poor detection effect of multi-scale objects, and small objects being easily affected by occlusion factors. Therefore, an adaptive spatial feature fusion (ASFF) YOLOv5 network (ASFF-YOLOv5) was proposed for the automatic recognition and detection of multiple multiscale road traffic elements. First, the K-means++ algorithm was used to make clustering statistics on the range of multiscale road traffic elements, and the size of the candidate box suitable for the dataset was obtained. Then, a spatial pyramid pooling fast (SPPF) structure was used to improve the classification accuracy and speed while achieving richer feature information extraction. An ASFF strategy based on a receptive field block (RFB) was proposed to improve the feature scale invariance and enhance the detection effect of small objects. Finally, the experimental effect was evaluated by calculating the mean average precision (mAP). Experimental results showed that the mAP value of the proposed method was 93.1%, which is 19.2% higher than that of the original YOLOv5 model. © 2022 by the authors.</t>
  </si>
  <si>
    <t xml:space="preserve">adaptively spatial feature fusion; basic traffic geographic information database; object detection; road traffic multiple elements; spatial pyramid pooling fast</t>
  </si>
  <si>
    <t xml:space="preserve">10.3390/rs14143498</t>
  </si>
  <si>
    <t xml:space="preserve">2-s2.0-85137262574</t>
  </si>
  <si>
    <t xml:space="preserve">Monitoring and surveillance of urban road traffic using low altitude drone images: a deep learning approach</t>
  </si>
  <si>
    <t xml:space="preserve">In the contemporary era, the global explosion of traffic has created many eye-catching concerns for policymakers. This not only enhances pollution but also leads to several road accident fatalities which may be greatly reduced by proper monitoring and surveillance. Further, with the advent of UAV technology and due to the incompatibility of traditional techniques, surveillance has become one of UAVs prominent application domains. However, it requires algorithmic analysis of aerial images which becomes extremely challenging due to multi-scale rotating objects with large aspect ratios, extremely imbalanced categories, cluttered background, and birds-eye view. Therefore, this article presents the novel aerial image traffic monitoring and surveillance algorithms based on the most advanced and popular DL object detection models (Faster-RCNN, SSD, YOLOv3, and YOLOv4) using the AU-AIR dataset. This dataset is exceedingly imbalanced and to resolve this issue, another 500 images have been grabbed by web-mining techniques. The novel contribution of this work is two-fold. First, this article scientifically distinguishes the inappropriateness of ground-view images for aerial object detection. Second, a regress comparison of these algorithms has been made to investigate their effectiveness. Extensive experimental analysis endorses the efficiency of YOLOv4 as it outperforms the other developed models by a minimum mAP margin of 88%. Also, more than 6 times high detection speed and greater a</t>
  </si>
  <si>
    <t xml:space="preserve">Aerial image; CNN; Deep learning; Object detection; Traffic surveillance; UAV</t>
  </si>
  <si>
    <t xml:space="preserve">Multimedia Tools and Applications</t>
  </si>
  <si>
    <t xml:space="preserve">10.1007/s11042-021-11146-x</t>
  </si>
  <si>
    <t xml:space="preserve">2-s2.0-85107995049</t>
  </si>
  <si>
    <t xml:space="preserve">Monitoring road traffic with a UAV-based system</t>
  </si>
  <si>
    <t xml:space="preserve">Unmanned Aerial Vehicles (UAVs) are becoming an attractive solution for road traffic monitoring because of their mobility, low cost, and broad view range. Up to now, existing traffic monitoring systems based on UAVs only use one UAV with fixed trajectory to extract information about vehicles. In this paper, we propose a road traffic monitoring system using multiple UAVs. We develop a method to generate adaptive UAVs trajectories, which is based on the tracking of moving points in the UAV field of view. Also we generate UAVs trajectories using mobility models that are usually used to model vehicles mobility. UAVs monitor the traffic on a city road, they are responsible for collecting and sending, in real time, vehicle information to a traffic processing center for traffic regulation purposes. We show that the performance of our system is better than the performance of the fixed UAV trajectory traffic monitoring system in terms of coverage rates and events detection rates. © 2018 IEEE.</t>
  </si>
  <si>
    <t xml:space="preserve">Estimation of events duration; Events detection; Road traffic monitoring; UAVs trajectories; Unmanned Areal Vehicles (UAVs)</t>
  </si>
  <si>
    <t xml:space="preserve">IEEE Wireless Communications and Networking Conference, WCNC</t>
  </si>
  <si>
    <t xml:space="preserve">10.1109/WCNC.2018.8377077</t>
  </si>
  <si>
    <t xml:space="preserve">2-s2.0-85049165149</t>
  </si>
  <si>
    <t xml:space="preserve">UAVformer: A Composite Transformer Network for Urban Scene Segmentation of UAV Images</t>
  </si>
  <si>
    <t xml:space="preserve">Urban scenes segmentation based on UAV (Unmanned aerial vehicle) view is a fundamental task for the applications of smart city such as city planning, land use monitoring, traffic monitoring, and crowd estimation. While urban scenes in UAV image characteristic by large scale variation of objects size and complexity background, which posed challenges to urban scenes segmentation of UAV image. The feature extracting backbone of existing networks cannot extract complex features of UAV image effectively, which limits the performance of urban scenes segmentation. To design segmentation network capable of extracting features of large scale variation urban ground scenes, this study proposed a novel composite transformer network for urban scenes segmentation of UAV image. A composite backbone with aggregation windows multi-head self-attention transformer blocks is proposed to make the extracted features more representatives by adaptive multi-level features fusion, and the full utilisation of contextual information and local information. Position attention modules are inserted in each stage between encoder and decoder to further enhance the spatial attention of extracted feature maps. Finally, a V-shaped decoder which is capable of utilising multi-level features is designed to get accurately dense prediction. The accuracy of urban scenes segmentation could significantly be enhanced in this way and successfully segmented the large scale variation objects from UAV views. Extensive ablati</t>
  </si>
  <si>
    <t xml:space="preserve">Aggregation windows multi-head self-attention transformer block; Composite backbone; UAV image; Urban scenes segmentation; V-shaped decoder</t>
  </si>
  <si>
    <t xml:space="preserve">Pattern Recognition</t>
  </si>
  <si>
    <t xml:space="preserve">10.1016/j.patcog.2022.109019</t>
  </si>
  <si>
    <t xml:space="preserve">2-s2.0-85137696709</t>
  </si>
  <si>
    <t xml:space="preserve">recent</t>
  </si>
  <si>
    <t xml:space="preserve">Machine Learning-Aided Operations and Communications of Unmanned Aerial Vehicles: A Contemporary Survey</t>
  </si>
  <si>
    <t xml:space="preserve">Over the past decade, Unmanned Aerial Vehicles (UAVs) have provided pervasive, efficient, and cost-effective solutions for data collection and communications. Their excellent mobility, flexibility, and fast deployment enable UAVs to be extensively utilized in agriculture, medical, rescue missions, smart cities, and intelligent transportation systems. Machine learning (ML) has been increasingly demonstrating its capability of improving the automation and operation precision of UAVs and many UAV-assisted applications, such as communications, sensing, and data collection. The ongoing amalgamation of UAV and ML techniques is creating a significant synergy and empowering UAVs with unprecedented intelligence and autonomy. This survey aims to provide a timely and comprehensive overview of ML techniques used in UAV operations and communications and identify the potential growth areas and research gaps. We emphasize the four key components of UAV operations and communications to which ML can significantly contribute, namely, perception and feature extraction, feature interpretation and regeneration, trajectory and mission planning, and aerodynamic control and operation. We classify the latest popular ML tools based on their applications to the four components and conduct gap analyses. This survey also takes a step forward by pointing out significant challenges in the upcoming realm of ML-aided automated UAV operations and communications. It is revealed that different ML techniques dom</t>
  </si>
  <si>
    <t xml:space="preserve">and communications; artificial intelligence (AI); data collection; machine learning (ML); UAV operations; Unmanned aerial vehicle (UAV)</t>
  </si>
  <si>
    <t xml:space="preserve">IEEE Communications Surveys and Tutorials</t>
  </si>
  <si>
    <t xml:space="preserve">10.1109/COMST.2023.3312221</t>
  </si>
  <si>
    <t xml:space="preserve">2-s2.0-85171569451</t>
  </si>
  <si>
    <t xml:space="preserve">CitySim: A Drone-Based Vehicle Trajectory Dataset for Safety-Oriented Research and Digital Twins</t>
  </si>
  <si>
    <t xml:space="preserve">The development of safety-oriented research and applications requires fine-grain vehicle trajectories that not only have high accuracy, but also capture substantial safety-critical events. However, it would be challenging to satisfy both these requirements using the available vehicle trajectory datasets do not have the capacity to satisfy both. This paper introduces the CitySim dataset that has the core objective of facilitating safety-oriented research and applications. CitySim has vehicle trajectories extracted from 1,140-min of drone videos recorded at 12 locations. It covers a variety of road geometries including freeway basic segments, weaving segments, expressway merge/diverge segments, signalized intersections, stop-controlled intersections, and control-free intersections. CitySim was generated through a five-step procedure that ensured trajectory accuracy. The five-step procedure included video stabilization, object filtering, multivideo stitching, object detection and tracking, and enhanced error filtering. Furthermore, CitySim provides the rotated bounding box information of a vehicle, which was demonstrated to improve safety evaluations. Compared with other video-based trajectory datasets, CitySim had significantly more safety-critical events, including cut-in, merge, and diverge events, which were validated by distributions of both minimum time-to-collision and minimum post encroachment time. In addition, CitySim had the capability to facilitate digital-twin-relat</t>
  </si>
  <si>
    <t xml:space="preserve">computer vision; data and data science; data and technology services related to CAEV (connected, automated, and electric vehicles)</t>
  </si>
  <si>
    <t xml:space="preserve">Transportation Research Record</t>
  </si>
  <si>
    <t xml:space="preserve">10.1177/03611981231185768</t>
  </si>
  <si>
    <t xml:space="preserve">2-s2.0-85166576835</t>
  </si>
  <si>
    <t xml:space="preserve">Enhancing vehicle detection in intelligent transportation systems via autonomous UAV platform and YOLOv8 integration</t>
  </si>
  <si>
    <t xml:space="preserve">This study highlights the evolving landscape of object detection methodologies, emphasizing the superiority of deep learning-based approaches over traditional methods. Particularly in intelligent transportation systems-related applications requiring robust image processing techniques, such as vehicle identification, localization, tracking, and counting within traffic scenarios, deep learning has gained substantial traction. The YOLO algorithm, in its various iterations, has emerged as a popular choice for such tasks, with YOLOv5 garnering significant attention. However, a more recent iteration, YOLOv8, was introduced in early 2023, ushering in a new phase of exploration and potential innovation in the field of object detection. Consequently, due to its recent emergence, the number of studies on YOLOv8 is extremely limited, and an application in the field of Intelligent Transportation Systems (ITS) has not yet found its place in the existing literature. In light of this gap, this study makes a noteworthy contribution by delving into vehicle detection using the YOLOv8 algorithm. Specifically, the focus is on targeting aerial images acquired through a modified autonomous UAV, representing a unique avenue for the application of this cutting-edge algorithm in a practical context. The dataset employed for training and testing the algorithm was curated from a diverse collection of traffic images captured during UAV missions. In a strategic effort to enhance the variability of vehicl</t>
  </si>
  <si>
    <t xml:space="preserve">Aerial monitoring; Intelligent transportation systems; Object detection; UAV; YOLOv8</t>
  </si>
  <si>
    <t xml:space="preserve">Applied Soft Computing</t>
  </si>
  <si>
    <t xml:space="preserve">10.1016/j.asoc.2024.112015</t>
  </si>
  <si>
    <t xml:space="preserve">2-s2.0-85199789945</t>
  </si>
  <si>
    <t xml:space="preserve">Efficient Vehicular Data Sharing Using Aerial P2P Backbone</t>
  </si>
  <si>
    <t xml:space="preserve">Peer-to-Peer (P2P) concept within Vehicular Ad-Hoc Networks (VANETs) facilitates instantaneous information sharing among vehicles, leading to a seamless exchange of multimedia content, enhanced traffic management, heightened road safety, and ultimately contributing to a transportation ecosystem that is both more enjoyable and secure. However, the paradigm of P2P faces various challenges ranging from network scalability and reliability to the frequent topology changes of vehicular environments and weak resource management. As a result, a set of problems could be generated, such as data inconsistency and unreliability, weak lookup success rate, and low end-to-end delay, especially when requesting data. To address all these issues, we propose an innovative solution that leverages an aerial backbone consisting of a connected group of Unmanned Aerial Vehicles (UAVs). This system efficiently covers the integrality of the terrestrial vehicular environment while ensuring efficient data sharing and distribution towards it, thus playing the role of an aerial P2P overlay. The establishment of the aerial backbone takes into account two factors: i) the connectivity degree among UAVs and ii) their remaining energy levels. To ensure that these two factors are constantly verified and maintain permanent data availability for the vehicular environment, a Deep Q Network (DQN) method is adopted to optimize the movements of UAVs according to the terrestrial environment dynamics. After conducting </t>
  </si>
  <si>
    <t xml:space="preserve">Connectivity; Peer-to-Peer (P2P); unmanned aerial vehicle (UAV); vehicular ad hoc network (VANET)</t>
  </si>
  <si>
    <t xml:space="preserve">IEEE Transactions on Intelligent Vehicles</t>
  </si>
  <si>
    <t xml:space="preserve">10.1109/TIV.2024.3414140</t>
  </si>
  <si>
    <t xml:space="preserve">2-s2.0-85196096715</t>
  </si>
  <si>
    <t xml:space="preserve">PVswin-YOLOv8s: UAV-Based Pedestrian and Vehicle Detection for Traffic Management in Smart Cities Using Improved YOLOv8</t>
  </si>
  <si>
    <t xml:space="preserve">In smart cities, effective traffic congestion management hinges on adept pedestrian and vehicle detection. Unmanned Aerial Vehicles (UAVs) offer a solution with mobility, cost-effectiveness, and a wide field of view, and yet, optimizing recognition models is crucial to surmounting challenges posed by small and occluded objects. To address these issues, we utilize the YOLOv8s model and a Swin Transformer block and introduce the PVswin-YOLOv8s model for pedestrian and vehicle detection based on UAVs. Firstly, the backbone network of YOLOv8s incorporates the Swin Transformer model for global feature extraction for small object detection. Secondly, to address the challenge of missed detections, we opt to integrate the CBAM into the neck of the YOLOv8. Both the channel and the spatial attention modules are used in this addition because of how well they extract feature information flow across the network. Finally, we employ Soft-NMS to improve the accuracy of pedestrian and vehicle detection in occlusion situations. Soft-NMS increases performance and manages overlapped boundary boxes well. The proposed network reduced the fraction of small objects overlooked and enhanced model detection performance. Performance comparisons with different YOLO versions (for example YOLOv3 extremely small, YOLOv5, YOLOv6, and YOLOv7), YOLOv8 variants (YOLOv8n, YOLOv8s, YOLOv8m, and YOLOv8l), and classical object detectors (Faster-RCNN, Cascade R-CNN, RetinaNet, and CenterNet) were used to validate th</t>
  </si>
  <si>
    <t xml:space="preserve">CBAM; pedestrian and vehicle detection; soft-NMS; swin transformer; UAVs; YOLOv8</t>
  </si>
  <si>
    <t xml:space="preserve">Drones</t>
  </si>
  <si>
    <t xml:space="preserve">10.3390/drones8030084</t>
  </si>
  <si>
    <t xml:space="preserve">2-s2.0-85188713797</t>
  </si>
  <si>
    <t xml:space="preserve">When Crowdsensing Meets Smart Cities: A Comprehensive Survey and New Perspectives</t>
  </si>
  <si>
    <t xml:space="preserve">Crowdsensing has received widespread attention in recent years. It is extensively employed in smart cities and intelligent transportation systems. This paper comprehensively surveys the latest research advancements in crowdsensing for smart cities from a novel perspective. Specifically, this paper is categorized according to sensing entities in smart cities, including human-oriented sensing, vehicle-oriented sensing, and infrastructure-oriented sensing. Meanwhile, the development of Unmanned Aerial Vehicle (UAV)-assisted sensing in recent years is also summarized, accompanied by a timeline of related research. To facilitate easy comprehension, we have positioned the reading flow into the corresponding architectures, resolved problems, existing technical solutions, and specific application scenarios for different sensing entities. In particular, the problems to be solved are further analyzed from four technical perspectives, namely mathematics and operational research, artificial intelligence and machine learning, incentive mechanisms, security and privacy protection. Based on the proposed taxonomy, recent studies are thoroughly investigated to illustrate the current state of research in crowdsensing. Furthermore, this paper highlights the emerging applications of human-oriented and vehicle-oriented sensing in smart cities, as well as the frameworks, platforms, simulators, and datasets involved in crowdsensing. Finally, this paper discusses research directions related to crowd</t>
  </si>
  <si>
    <t xml:space="preserve">artificial intelligence; Crowdsensing; incentive mechanisms; optimization; smart cities; UAV-assisted sensing</t>
  </si>
  <si>
    <t xml:space="preserve">10.1109/COMST.2024.3400121</t>
  </si>
  <si>
    <t xml:space="preserve">2-s2.0-85192787982</t>
  </si>
  <si>
    <t xml:space="preserve">Utilizing YOLOv8 for enhanced traffic monitoring in intelligent transportation systems (ITS) applications</t>
  </si>
  <si>
    <t xml:space="preserve">The increasing demand for artificial intelligence-based motor vehicle detection in Intelligent Transportation Systems (ITS) applications highlights the significance of advancements in this field. The introduction of YOLOv8, the latest iteration in the YOLO algorithm series, presents a new avenue for exploring the potential of this detection algorithm within the ITS domain. The algorithm has not been previously tested in applications such as vehicle detection, which highlights a gap in the existing literature. This presents an opportunity to explore its capabilities and contributions in traffic monitoring and vehicle detection. This study aims to address this gap by employing YOLOv8 for vehicle detection within the broader context of ITS applications. Distinguishing itself from its predecessors, YOLOv8 features a decoupled head structure and employs a C2f module instead of C3. Extensive testing was performed using datasets acquired through aerial monitoring with a drone. Special emphasis was placed on ensuring a diverse array of target objects during dataset creation, a detail frequently neglected in comparable studies. The algorithm's training not only facilitated an evaluation of its ability to generalize and process data proficiently but also provided initial insights into its potential for real-time applications. The model underwent a comprehensive series of performance tests, revealing both strengths and weaknesses and outlining its capabilities and limitations. In a comp</t>
  </si>
  <si>
    <t xml:space="preserve">Aerial monitoring; Intelligent transportation systems; Unmanned aerial vehicle; Vehicle detection; YOLOv8</t>
  </si>
  <si>
    <t xml:space="preserve">Digital Signal Processing: A Review Journal</t>
  </si>
  <si>
    <t xml:space="preserve">10.1016/j.dsp.2024.104594</t>
  </si>
  <si>
    <t xml:space="preserve">2-s2.0-85194332405</t>
  </si>
  <si>
    <t xml:space="preserve">Vehicular mobility monitoring using remote sensing and deep learning on a UAV-based mobile computing platform</t>
  </si>
  <si>
    <t xml:space="preserve">Conventional methods of transportation security, such as fixed security camera surveillance, offer limited coverage and constrained viewing angles. Moreover, the full potential of unmanned systems, widely utilized in various fields, remains underexploited in transportation security. This study integrates Intelligent Transportation Systems (ITS) with Unmanned Aerial Vehicles (UAVs) to address these limitations and propose a comprehensive approach to urban mobility monitoring and control. By enhancing both the software and hardware of a test UAV, the system is transformed into a robust mobile computing platform capable of real-time vehicle detection and traffic monitoring. The UAV's upgraded communication infrastructure enables rapid data transmission to control stations, facilitating timely decision-making. Various size variants of YOLOv8 are tested for their suitability for real-time applications, with the YOLOv8n variant proving particularly effective, achieving faster detection times and a precision rate of 0.706 in vehicle detection tasks on the Jetson Nano platform. YOLOv8n was also compared against various variants of the state-of-the-art algorithms YOLOv9, YOLOv10, and YOLO11. While it did not achieve the highest precision, the difference was minor, and it demonstrated the best balance between precision and recall. The system reliably tracks specific vehicles, providing accurate real-time vehicle trajectories to the control station. Additionally, using the UAV's hoverin</t>
  </si>
  <si>
    <t xml:space="preserve">Intelligent transportation systems; Mobile computing platform; UAV; Urban mobility; Vehicle detection; YOLO11; YOLOv8n</t>
  </si>
  <si>
    <t xml:space="preserve">10.1016/j.measurement.2024.116579</t>
  </si>
  <si>
    <t xml:space="preserve">2-s2.0-85213083249</t>
  </si>
  <si>
    <t xml:space="preserve">Internet of Things-enabled unmanned aerial vehicles for real-time traffic mobility analysis in smart cities</t>
  </si>
  <si>
    <t xml:space="preserve">In modern traffic monitoring and mobility analysis, unmanned aerial vehicles (UAVs) have proven to be invaluable, overcoming the limitations of stationary surveillance cameras by offering dynamic, adaptable coverage. However, the full computational and communication potential of UAVs remains largely untapped in existing studies. This research presents an advanced UAV-based traffic monitoring system, integrating real-time image processing and Internet-of-Things (IoT)-enabled data transmission for enhanced mobility assessment. The UAV platform incorporates a high-performance neural accelerator for onboard image processing and IoT-compatible communication modules, transforming it into an autonomous, intelligent, and highly efficient traffic analysis tool. By leveraging the YOLOv8n object detection algorithm, the UAV achieves an 88% average success rate in real-time vehicle detection, enabling precise spatial mobility mapping along predefined flight routes. A comparative analysis was conducted against the latest YOLO variants, including YOLOv9t, YOLOv10n, and YOLOv11n, demonstrating that YOLOv8n provides the best trade-off between accuracy and real-time processing efficiency for UAV-based mobility monitoring. Unlike traditional methods that rely on batch processing, this system facilitates immediate data transmission to relevant regulatory bodies, and IoT networks, enabling responsive traffic management and decision-making. The study also underscores the transformative potential </t>
  </si>
  <si>
    <t xml:space="preserve">Aerial monitoring; IoT; Mobility mapping; Real-time edge computing; Unmanned aerial vehicle; Vehicle mobility; YOLO</t>
  </si>
  <si>
    <t xml:space="preserve">Computers and Electrical Engineering</t>
  </si>
  <si>
    <t xml:space="preserve">10.1016/j.compeleceng.2025.110313</t>
  </si>
  <si>
    <t xml:space="preserve">2-s2.0-105001875675</t>
  </si>
  <si>
    <t xml:space="preserve">Energy Efficiency Maximization in UAV-Assisted Intelligent Autonomous Transport System for 6G Networks With Energy Harvesting</t>
  </si>
  <si>
    <t xml:space="preserve">The unmanned aerial vehicle-assisted 6G supported intelligent transportation systems (UAV-assisted 6G-ITS) have great potential to make transportation systems efficient, smart, and sustainable. However, when connected and autonomous vehicles communicate with UAVs, it can lead to issues such as energy consumption and overlapping interference, which can affect system performance. Therefore, this paper proposes an interference tolerance-based energy harvesting (EH) resource allocation (IT-EHRA) strategy, aiming to improve the energy efficiency (EE) of UAV-assisted 6G-ITS and mitigate the overlapping interference. Firstly, we established an interference hypergraph model and analyzed the types and relationships of interference in the network. Based on this model, an interference tolerance method was designed to alleviate overlapping interference. Then, an EH optimization model with imperfect channel state information (CSI) is proposed based on the interference model, aiming to maximize the network EE and reduce energy consumption. Finally, we adopt the IT-EHRA algorithm to reduce the impact of imperfect CSI and use duality theory to obtain the optimal solution, thereby achieving maximum network EE. Simulation results show that the algorithm effectively ensures the EE requirements of the network, improves the throughput of the network, and promotes the sustainable development of the network. © 2000-2011 IEEE.</t>
  </si>
  <si>
    <t xml:space="preserve">energy efficiency; energy harvesting; Intelligent transportation systems; overlapping interference; unmanned aerial vehicles</t>
  </si>
  <si>
    <t xml:space="preserve">10.1109/TITS.2024.3445088</t>
  </si>
  <si>
    <t xml:space="preserve">2-s2.0-85211596017</t>
  </si>
  <si>
    <t xml:space="preserve">BAT: Behavior-Aware Human-Like Trajectory Prediction for Autonomous Driving</t>
  </si>
  <si>
    <t xml:space="preserve">The ability to accurately predict the trajectory of surrounding vehicles is a critical hurdle to overcome on the journey to fully autonomous vehicles. To address this challenge, we pioneer a novel behavior-aware trajectory prediction model (BAT) that incorporates insights and findings from traffic psychology, human behavior, and decision-making. Our model consists of behavior-aware, interaction-aware, priority-aware, and position-aware modules that perceive and understand the underlying interactions and account for uncertainty and variability in prediction, enabling higher-level learning and flexibility without rigid categorization of driving behavior. Importantly, this approach eliminates the need for manual labeling in the training process and addresses the challenges of non-continuous behavior labeling and the selection of appropriate time windows. We evaluate BAT's performance across the Next Generation Simulation (NGSIM), Highway Drone (HighD), Roundabout Drone (RounD), and Macao Connected Autonomous Driving (MoCAD) datasets, showcasing its superiority over prevailing state-of-the-art (SOTA) benchmarks in terms of prediction accuracy and efficiency. Remarkably, even when trained on reduced portions of the training data (25%), our model outperforms most of the baselines, demonstrating its robustness and efficiency in predicting vehicle trajectories and the potential to reduce the amount of data required to train autonomous vehicles, especially in corner cases. In conclusi</t>
  </si>
  <si>
    <t xml:space="preserve">Proceedings of the AAAI Conference on Artificial Intelligence</t>
  </si>
  <si>
    <t xml:space="preserve">10.1609/aaai.v38i9.28900</t>
  </si>
  <si>
    <t xml:space="preserve">2-s2.0-85189289446</t>
  </si>
  <si>
    <t xml:space="preserve">A UAV-Assisted Authentication Protocol for Internet of Vehicles</t>
  </si>
  <si>
    <t xml:space="preserve">— As a component of the Intelligent Transportation System (ITS), Internet of Vehicles (IoV) is becoming increasingly important in the management and construction of urban transportation as it can provide users with a range of applications related to traffic accident warnings, entertainment information, collaborative driving and real-time road information through communication devices on vehicles. However, with the increasing variety of services in the IoV, the growing demand for user traffic and the advances in Unmanned Aerial Vehicle (UAV) technology, UAV is introduced into the IoV as a solution, which can relieve the pressure on the communication infrastructure in the network, provide emergency communication services and improve the performance of network services. Due to the openness of IoV and the high-speed movement of vehicles, authentication and privacy issues are among the most pressing issues in IoV. Therefore, the paper proposes a secure and effective authentication protocol for UAV-assisted IoV. The protocol utilises elliptic curve cryptography to assure the security of the authentication. The protocol undergoes proof of security, Burrows-Abadi-Needham (BAN) logic analysis and informal security analysis to ensure secure and mutual authentication, and have a good resistance to known attacks. Furthermore, performance analysis and comparison are conducted to evaluate the efficiency of our protocol. The results indicate that our protocol has superior advantages in over</t>
  </si>
  <si>
    <t xml:space="preserve">authentication; Internet of Vehicles; security; unmanned aerial vehicle</t>
  </si>
  <si>
    <t xml:space="preserve">10.1109/TITS.2024.3360251</t>
  </si>
  <si>
    <t xml:space="preserve">2-s2.0-85186968680</t>
  </si>
  <si>
    <t xml:space="preserve">Advanced aerial monitoring and vehicle classification for intelligent transportation systems with YOLOv8 variants</t>
  </si>
  <si>
    <t xml:space="preserve">Aerial monitoring assumes a pivotal role within the domain of Intelligent Transportation Systems (ITS), imparting invaluable data and discernments that ameliorate the efficacy, security, and holistic operability of transportation networks. Image processing, encompassing the derivation of valuable insights through the manipulation of visual data captured by imaging apparatus, resides at the core and is poised to establish a firm footing in forthcoming ITS applications. In this context, numerous machine learning methodologies have been devised to enhance image processing, with novel approaches continually emerging. YOLOv8 emerged earlier this year and is still in the process of assimilating its potential application within the domain of ITS. In this study, a comprehensive assessment was conducted on all constituent variants of YOLOv8, specifically within the context of its application in the domain of aerial traffic monitoring. Using a custom-modified commercial drone, extensive datasets were acquired encompassing a diverse range of flight scenarios and traffic dynamics. To optimize model performance, meticulous consideration was given to ensuring dataset inclusivity, encompassing the full spectrum of vehicular typologies, while maintaining a homogeneous structure that accommodates an array of environmental nuances, including illumination and shading variations. The outcomes evince that both YOLOv8l and YOLOv8x exhibit notable superiority over other variants, manifesting except</t>
  </si>
  <si>
    <t xml:space="preserve">Aerial traffic monitoring; Convolutional neural networks; Deep learning; Intelligent transportation systems; Smart traffic management; Vehicle detection; YOLOv8</t>
  </si>
  <si>
    <t xml:space="preserve">Journal of Network and Computer Applications</t>
  </si>
  <si>
    <t xml:space="preserve">10.1016/j.jnca.2025.104134</t>
  </si>
  <si>
    <t xml:space="preserve">2-s2.0-85217392148</t>
  </si>
  <si>
    <t xml:space="preserve">The Future of Last-Mile Delivery: Lifecycle Environmental and Economic Impacts of Drone-Truck Parallel Systems</t>
  </si>
  <si>
    <t xml:space="preserve">With rapid advancements in unmanned aerial vehicle (UAV) technology, its integration into logistics operations has emerged as a promising solution for improving efficiency and sustainability. Among the emerging solutions, a collaborative delivery model involving drones and trucks addresses last-mile delivery challenges by leveraging the complementary strengths of both modes of transport. However, evaluating the environmental and economic impacts of this transportation mode requires a systematic framework to capture its unique characteristics and minimize environmental impacts and costs. This paper investigates the Parallel Drone Scheduling Traveling Salesman Problem (PDSTSP) to evaluate the environmental and economic sustainability of a collaborative drone-truck delivery system. Specifically, a mathematical model for this delivery system is developed to optimize joint delivery operations. Environmental impacts are assessed using a comprehensive Life Cycle Assessment (LCA), including emissions and operational noise, while a Life Cycle Cost Analysis (LCCA) quantifies economic performance across five cost dimensions. Sensitivity analysis explores factors such as delivery density, traffic congestion, and wind conditions. Results show that, compared to the electric vehicle fleet, the proposed model achieves an approximate 20% reduction in carbon emissions, while delivering a 20–30% cost reduction relative to the fuel truck fleet. Drones’ efficiency in short-distance deliveries all</t>
  </si>
  <si>
    <t xml:space="preserve">drone delivery; economic impact; environmental impact; last-mile delivery; lifecycle assessment; sustainability</t>
  </si>
  <si>
    <t xml:space="preserve">10.3390/drones9010054</t>
  </si>
  <si>
    <t xml:space="preserve">2-s2.0-85215926954</t>
  </si>
  <si>
    <t xml:space="preserve">Mask-Guided Mamba Fusion for Drone-Based Visible-Infrared Vehicle Detection</t>
  </si>
  <si>
    <t xml:space="preserve">Drone-based vehicle detection is a critical task within intelligent transportation systems. The existing methods that rely solely on single visible or infrared modalities often struggle to achieve both precise and robust detection. Effectively integrating cross-modal information to assist in vehicle detection remains a significant challenge. In this article, we propose a mask-guided Mamba fusion (MGMF) method for visible-infrared vehicle detection in aerial scenes. The proposed MGMF framework consists of two key components: the masked regularization constraint module (MRCM) and the state-space fusion module (SSFM). First, in MAEM, we use candidate regions from one modality to cover corresponding regions of intermediate-level features from another modality, while a regularization constraint extracts cross-modal guidance. This design allows cross-modal features focused on vehicle areas to be extracted from both modalities for fusion. Second, in SSFM, we propose mapping cross-modal features into a shared hidden state for interaction. This reduces disparities between the cross-modal features and enhances the representation, enabling better perception of intermodal correlations. When evaluated on the DroneVehicle dataset, our MGMF achieves an 80.24% with respect to mAP, establishing a new benchmark for state-of-the-art performance. Ablation studies further demonstrate the effectiveness of our MAEM and SSFM in enhancing visible-infrared fusion for vehicle detection. © 2024 IEEE.</t>
  </si>
  <si>
    <t xml:space="preserve">Cross-modal information; drone-based vehicle detection; masked regularization constraint module (MRCM); state-space fusion module (SSFM)</t>
  </si>
  <si>
    <t xml:space="preserve">IEEE Transactions on Geoscience and Remote Sensing</t>
  </si>
  <si>
    <t xml:space="preserve">10.1109/TGRS.2024.3452550</t>
  </si>
  <si>
    <t xml:space="preserve">2-s2.0-85202732974</t>
  </si>
  <si>
    <t xml:space="preserve">Reluplex: An efficient smt solver for verifying deep neural networks</t>
  </si>
  <si>
    <t xml:space="preserve">Deep neural networks have emerged as a widely used and effective means for tackling complex, real-world problems. However, a major obstacle in applying them to safety-critical systems is the great difficulty in providing formal guarantees about their behavior. We present a novel, scalable, and efficient technique for verifying properties of deep neural networks (or providing counter-examples). The technique is based on the simplex method, extended to handle the non-convex Rectified Linear Unit (ReLU) activation function, which is a crucial ingredient in many modern neural networks. The verification procedure tackles neural networks as a whole, without making any simplifying assumptions. We evaluated our technique on a prototype deep neural network implementation of the next-generation airborne collision avoidance system for unmanned aircraft (ACAS Xu). Results show that our technique can successfully prove properties of networks that are an order of magnitude larger than the largest networks verified using existing methods. © Springer International Publishing AG 2017.</t>
  </si>
  <si>
    <t xml:space="preserve">Lecture Notes in Computer Science (including subseries Lecture Notes in Artificial Intelligence and Lecture Notes in Bioinformatics)</t>
  </si>
  <si>
    <t xml:space="preserve">10.1007/978-3-319-63387-9_5</t>
  </si>
  <si>
    <t xml:space="preserve">2-s2.0-85026742103</t>
  </si>
  <si>
    <t xml:space="preserve">Urban Air Mobility: History, Ecosystem, Market Potential, and Challenges</t>
  </si>
  <si>
    <t xml:space="preserve">Since the early 20th century, inventors have conceptualized 'plane cars' and other urban aerial transportation. Emerging innovations in electrification, automation, and other technologies are enabling new opportunities for on-demand air mobility, business models, and aircraft design. Urban air mobility (UAM) envisions a safe, sustainable, affordable, and accessible air transportation system for passenger mobility, goods delivery, and emergency services within or traversing metropolitan areas. This research employed a multi-method approach comprised of 106 interviews with thought leaders and two stakeholder workshops to construct the history, ecosystem, state of the industry, and potential evolution of UAM. The history, current developments, and anticipated milestones of UAM can be classified into six phases: 1) 'flying car' concepts from the early 1910s to 1950s, 2) early UAM operations using scheduled helicopter services from the 1950s to 1980s, 3) re-emergence of on-demand services starting in the 2010s, 4) corridor services using vertical take-off and landing (VTOL) envisioned for the 2020s, 5) hub and spoke services, and 6) point-to-point services. In the future, UAM could face several barriers to growth and mainstreaming, such as the existing regulatory environment; community acceptance; and concerns about safety, noise, social equity, and environmental impacts. UAM also could be limited by infrastructure and airspace management needs, as well as business model constrain</t>
  </si>
  <si>
    <t xml:space="preserve">Advanced air mobility (AAM); automation; electrification; flying cars; helicopters; on-demand air mobility; rural air mobility; unmanned aerial vehicles (UAVs); unmanned aircraft (UA); unmanned aircraft systems (UAS); urban air mobility (UAM); vertical take-off and land (VTOL)</t>
  </si>
  <si>
    <t xml:space="preserve">10.1109/TITS.2021.3082767</t>
  </si>
  <si>
    <t xml:space="preserve">2-s2.0-85107355583</t>
  </si>
  <si>
    <t xml:space="preserve">Vision-Based Anti-UAV Detection and Tracking</t>
  </si>
  <si>
    <t xml:space="preserve">Unmanned aerial vehicles (UAV) have been widely used in various fields, and their invasion of security and privacy has aroused social concern. Several detection and tracking systems for UAVs have been introduced in recent years, but most of them are based on radio frequency, radar, and other media. We assume that the field of computer vision is mature enough to detect and track invading UAVs. Thus we propose a visible light mode dataset called Dalian University of Technology Anti-UAV dataset, DUT Anti-UAV for short. It contains a detection dataset with a total of 10,000 images and a tracking dataset with 20 videos that include short-term and long-term sequences. All frames and images are manually annotated precisely. We use this dataset to train several existing detection algorithms and evaluate the algorithms' performance. Several tracking methods are also tested on our tracking dataset. Furthermore, we propose a clear and simple tracking algorithm combined with detection that inherits the detector's high precision. Extensive experiments show that the tracking performance is improved considerably after fusing detection, thus providing a new attempt at UAV tracking using our dataset. The datasets and results are publicly available at: https://github.com/wangdongdut/DUT-Anti-UAV.  © 2000-2011 IEEE.</t>
  </si>
  <si>
    <t xml:space="preserve">Anti-UAV; dataset; detection; tracking</t>
  </si>
  <si>
    <t xml:space="preserve">10.1109/TITS.2022.3177627</t>
  </si>
  <si>
    <t xml:space="preserve">2-s2.0-85131721334</t>
  </si>
  <si>
    <t xml:space="preserve">YOLO-Drone: An Optimized YOLOv8 Network for Tiny UAV Object Detection</t>
  </si>
  <si>
    <t xml:space="preserve">Highlights: What are the main findings? An improvement upon the state-of-the-art YOLOv8 model, proposing a high-performance and highly generalizable model for detecting tiny UAV targets. What is the implication of the main finding? Addressing the small size characteristics of UAV targets, a high-resolution detection branch is added to the detection head to enhance the model’s ability to detect tiny targets. Simultaneously, prediction and the related feature extraction and fusion layers for large targets are pruned, reducing network redundancy and lowering the model’s parameter count. Improving multi-scale feature extraction, using SPD-Conv instead of Conv to extract multi-scale features, better retaining the features of tiny targets, and reducing the probability of UAV miss detection. Additionally, the multi-scale fusion module incorporates the GAM attention mechanism to enhance the fusion of target features and reduce the probability of false detections. The combined use of SPD-Conv and GAM strengthens the model’s ability to detect tiny targets. With the widespread use of UAVs in commercial and industrial applications, UAV detection is receiving increasing attention in areas such as public safety. As a result, object detection techniques for UAVs are also developing rapidly. However, the small size of drones, complex airspace backgrounds, and changing light conditions still pose significant challenges for research in this area. Based on the above problems, this paper propose</t>
  </si>
  <si>
    <t xml:space="preserve">deep learning; object detection; UAV; YOLOv8</t>
  </si>
  <si>
    <t xml:space="preserve">Electronics (Switzerland)</t>
  </si>
  <si>
    <t xml:space="preserve">10.3390/electronics12173664</t>
  </si>
  <si>
    <t xml:space="preserve">2-s2.0-85170526158</t>
  </si>
  <si>
    <t xml:space="preserve">Survey on Anti-Drone Systems: Components, Designs, and Challenges</t>
  </si>
  <si>
    <t xml:space="preserve">This paper presents a comprehensive survey on anti-drone systems. After drones were released for non-military usages, drone incidents in the unarmed population are gradually increasing. However, it is unaffordable to construct a military grade anti-drone system for every private or public facility due to installation and operation costs, and regulatory restrictions. We focus on analyzing anti-drone system that does not use military weapons, investigating a wide range of anti-drone technologies, and deriving proper system models for reliable drone defense. We categorized anti-drone technologies into detection, identification, and neutralization, and reviewed numerous studies on each. Then, we propose a hypothetical anti-drone system that presents the guidelines for adaptable and effective drone defense operations. Further, we discuss drone-side safety and security schemes that could nullify current anti-drone methods, and propose future solutions to resolve these challenges.  © 2013 IEEE.</t>
  </si>
  <si>
    <t xml:space="preserve">Anti-drone; counter-drone; drone detection; drone identification; drone neutralization</t>
  </si>
  <si>
    <t xml:space="preserve">10.1109/ACCESS.2021.3065926</t>
  </si>
  <si>
    <t xml:space="preserve">2-s2.0-85103761574</t>
  </si>
  <si>
    <t xml:space="preserve">Urban air mobility airspace integration concepts and considerations</t>
  </si>
  <si>
    <t xml:space="preserve">Urban Air Mobility—defined as safe and efficient air traffic operations in a metropolitan area for manned aircraft and unmanned aircraft systems—is being researched and developed by industry, academia, and government. Significant resources have been invested toward cultivating an ecosystem for Urban Air Mobility that includes manufacturers of electric vertical takeoff and landing aircraft, builders of takeoff and landing areas, and researchers of the airspace integration concepts, technologies, and procedures needed to conduct Urban Air Mobility operations safely and efficiently alongside other airspace users. This paper provides high-level descriptions of both emergent and early expanded operational concepts for Urban Air Mobility that NASA is developing. The scope of this work is defined in terms of missions, aircraft, airspace, and hazards. Past and current Urban Air Mobility operations are also reviewed, and the considerations for the data exchange architecture and communication, navigation, and surveillance requirements are also discussed. This paper will serve as a starting point to develop a framework for NASA’s Urban Air Mobility airspace integration research and development efforts with partners and stakeholders that could include fast-time simulations, human-in-the-loop simulations, and flight demonstrations. © 2018, American Institute of Aeronautics and Astronautics Inc, AIAA. All rights reserved.</t>
  </si>
  <si>
    <t xml:space="preserve">2018 Aviation Technology, Integration, and Operations Conference</t>
  </si>
  <si>
    <t xml:space="preserve">10.2514/6.2018-3676</t>
  </si>
  <si>
    <t xml:space="preserve">2-s2.0-85051668637</t>
  </si>
  <si>
    <t xml:space="preserve">Unmanned Aerial Vehicles (UAVs): Collision Avoidance Systems and Approaches</t>
  </si>
  <si>
    <t xml:space="preserve">Moving towards autonomy, unmanned vehicles rely heavily on state-of-the-art collision avoidance systems (CAS). A lot of work is being done to make the CAS as safe and reliable as possible, necessitating a comparative study of the recent work in this important area. The paper provides a comprehensive review of collision avoidance strategies used for unmanned vehicles, with the main emphasis on unmanned aerial vehicles (UAV). It is an in-depth survey of different collision avoidance techniques that are categorically explained along with a comparative analysis of the considered approaches w.r.t. different scenarios and technical aspects. This also includes a discussion on the use of different types of sensors for collision avoidance in the context of UAVs. © 2013 IEEE.</t>
  </si>
  <si>
    <t xml:space="preserve">active and passive sensors; Autonomous aerial vehicles; autonomous vehicles; collision avoidance; force-field based; geometry based; optimisation-based; sense and avoid</t>
  </si>
  <si>
    <t xml:space="preserve">10.1109/ACCESS.2020.3000064</t>
  </si>
  <si>
    <t xml:space="preserve">2-s2.0-85086711554</t>
  </si>
  <si>
    <t xml:space="preserve">Anti-Drone System with Multiple Surveillance Technologies: Architecture, Implementation, and Challenges</t>
  </si>
  <si>
    <t xml:space="preserve">In recent years, drones have undergone tremendous development. Due to the low price and ease of use, drones have been widely utilized in many application scenarios, which potentially pose great threats to public security and personal privacy. To mitigate these threats, it is necessary to deploy anti-drone systems in sensitive areas to detect, localize, and defend against the intruding drones. In this article, we provide a comprehensive overview of the technologies utilized for drone surveillance and the existing anti-drone systems. Then we develop an anti-drone system at Zhejiang University, named ADS-ZJU, which combines multiple passive surveillance technologies to realize drone detection, localization, and radio frequency jamming. Furthermore, we discuss the challenges and open research issues in such a system. © 1979-2012 IEEE.</t>
  </si>
  <si>
    <t xml:space="preserve">10.1109/MCOM.2018.1700430</t>
  </si>
  <si>
    <t xml:space="preserve">2-s2.0-85045934652</t>
  </si>
  <si>
    <t xml:space="preserve">Machine Learning-Based Drone Detection and Classification: State-of-the-Art in Research</t>
  </si>
  <si>
    <t xml:space="preserve">This paper presents a comprehensive review of current literature on drone detection and classification using machine learning with different modalities. This research area has emerged in the last few years due to the rapid development of commercial and recreational drones and the associated risk to airspace safety. Addressed technologies encompass radar, visual, acoustic, and radio-frequency sensing systems. The general finding of this study demonstrates that machine learning-based classification of drones seems to be promising with many successful individual contributions. However, most of the performed research is experimental and the outcomes from different papers can hardly be compared. A general requirement-driven specification for the problem of drone detection and classification is still missing as well as reference datasets which would help in evaluating different solutions. © 2013 IEEE.</t>
  </si>
  <si>
    <t xml:space="preserve">acoustics; drone classification; Drone detection; machine learning; radar; radio-frequency; vision</t>
  </si>
  <si>
    <t xml:space="preserve">10.1109/ACCESS.2019.2942944</t>
  </si>
  <si>
    <t xml:space="preserve">2-s2.0-85078236502</t>
  </si>
  <si>
    <t xml:space="preserve">On the Detection of Unauthorized Drones - Techniques and Future Perspectives: A Review</t>
  </si>
  <si>
    <t xml:space="preserve">The market size of civilian drones is tremendously increasing and is expected to reach 1.66 million by the end of 2023. The increase in number of civilian drones poses several privacy and security threats. To safeguard critical assets and infrastructure and to protect privacy of people from the illegitimate uses of commercial drones, a drone detection system is inevitable. In particular, there is a need for a drone detection system that is efficient, accurate, robust, cost-effective and scalable. Recognizing the importance of the problem, several drone detection approaches have been proposed over time. However, none of these provides sufficient performance due to the inherited limitations of the underlying detection technology. More specifically, there are trade-offs among various performance metrics e.g., accuracy, detection range, and robustness against environmental conditions etc. This motivates an in-depth study and critical analysis of the existing approaches, highlighting their potential benefits and limitations. In this paper, we provide a rigorous overview of the existing drone detection techniques and a critical review of the state-of-the-art. Based on the review, we provide key insights on the future drone detection systems. We believe these insights will provide researchers and practicing engineers a holistic view to understand the broader context of the drone detection problem.  © 2001-2012 IEEE.</t>
  </si>
  <si>
    <t xml:space="preserve">Drone detection; Privacy; Radar; Radio; Security; Unmanned aerial vehicles; Visual</t>
  </si>
  <si>
    <t xml:space="preserve">IEEE Sensors Journal</t>
  </si>
  <si>
    <t xml:space="preserve">10.1109/JSEN.2022.3171293</t>
  </si>
  <si>
    <t xml:space="preserve">2-s2.0-85129429936</t>
  </si>
  <si>
    <t xml:space="preserve">Internet of Drones</t>
  </si>
  <si>
    <t xml:space="preserve">The Internet of Drones (IoD) is a layered network control architecture designed mainly for coordinating the access of unmanned aerial vehicles to controlled airspace, and providing navigation services between locations referred to as nodes. The IoD provides generic services for various drone applications, such as package delivery, traffic surveillance, search and rescue, and more. In this paper, we present a conceptual model of how such an architecture can be organized and we specify the features that an IoD system based on our architecture should implement. For doing so, we extract key concepts from three existing large scale networks, namely the air traffic control network, the cellular network, and the Internet, and explore their connections to our novel architecture for drone traffic management. A simulation platform for IoD is being implemented, which can be accessed from www.IoDnet.org in the future. © 2013 IEEE.</t>
  </si>
  <si>
    <t xml:space="preserve">air traffic control (ATC); cellular network; Internet; Internet of Drones (IoD); Layered architecture; low altitude air traffic management; unmanned aerial vehicle (UAV)</t>
  </si>
  <si>
    <t xml:space="preserve">10.1109/ACCESS.2016.2537208</t>
  </si>
  <si>
    <t xml:space="preserve">2-s2.0-84979834043</t>
  </si>
  <si>
    <t xml:space="preserve">RF-based drone detection and identification using deep learning approaches: An initiative towards a large open source drone database</t>
  </si>
  <si>
    <t xml:space="preserve">The omnipresence of unmanned aerial vehicles, or drones, among civilians can lead to technical, security, and public safety issues that need to be addressed, regulated and prevented. Security agencies are in continuous search for technologies and intelligent systems that are capable of detecting drones. Unfortunately, breakthroughs in relevant technologies are hindered by the lack of open source databases for drone's Radio Frequency (RF) signals, which are remotely sensed and stored to enable developing the most effective way for detecting and identifying these drones. This paper presents a stepping stone initiative towards the goal of building a database for the RF signals of various drones under different flight modes. We systematically collect, analyze, and record raw RF signals of different drones under different flight modes such as: off, on and connected, hovering, flying, and video recording. In addition, we design intelligent algorithms to detect and identify intruding drones using the developed RF database. Three deep neural networks (DNN) are used to detect the presence of a drone, the presence of a drone and its type, and lastly, the presence of a drone, its type, and flight mode. Performance of each DNN is validated through a 10-fold cross-validation process and evaluated using various metrics. Classification results show a general decline in performance when increasing the number of classes. Averaged accuracy has decreased from 99.7% for the first DNN (2-classes)</t>
  </si>
  <si>
    <t xml:space="preserve">Deep learning; Drone identification; Machine learning; Neural networks; UAV detection</t>
  </si>
  <si>
    <t xml:space="preserve">Future Generation Computer Systems</t>
  </si>
  <si>
    <t xml:space="preserve">10.1016/j.future.2019.05.007</t>
  </si>
  <si>
    <t xml:space="preserve">2-s2.0-85065643831</t>
  </si>
  <si>
    <t xml:space="preserve">Air-to-air visual detection of micro-UAVs: An experimental evaluation of deep learning</t>
  </si>
  <si>
    <t xml:space="preserve">This letter studies the problem of air-to-air visual detection of micro unmanned aerial vehicles (UAVs) by monocular cameras. This problem is important for many applications such as vision-based swarming of UAVs, malicious UAV detection, and see-and-avoid systems for UAVs. Although deep learning methods have exhibited superior performance in many object detection tasks, their potential for UAV detection has not been well explored. As the first main contribution of this letter, we present a new dataset, named Det-Fly, which consists of more than 13 000 images of a flying target UAV acquired by another flying UAV. Compared to the existing datasets, the proposed one is more comprehensive in the sense that it covers a wide range of practical scenarios with different background scenes, viewing angles, relative distance, flying altitude, and lightning conditions. The second main contribution of this letter is to present an experimental evaluation of eight representative deep-learning algorithms based on the proposed dataset. To the best of our knowledge, this is the first comprehensive experimental evaluation of deep learning algorithms for the task of visual UAV detection so far. The evaluation results highlight some key challenges in the problem of air-to-air UAV detection and suggest potential ways to develop new algorithms in the future. The dataset is available at https://github.com/Jake-WU/Det-Fly.  © 2016 IEEE.</t>
  </si>
  <si>
    <t xml:space="preserve">Deep learning; UAV detection; visual detection</t>
  </si>
  <si>
    <t xml:space="preserve">IEEE Robotics and Automation Letters</t>
  </si>
  <si>
    <t xml:space="preserve">10.1109/LRA.2021.3056059</t>
  </si>
  <si>
    <t xml:space="preserve">2-s2.0-85100705092</t>
  </si>
  <si>
    <t xml:space="preserve">Unmanned aircraft system traffic management (UTM) concept of operations</t>
  </si>
  <si>
    <t xml:space="preserve">Many applications of small Unmanned Aircraft System (UAS) have been envisioned. These include surveillance of key assets such as pipelines, rail, or electric wires, deliveries, search and rescue, traffic monitoring, videography, and precision agriculture. These operations are likely to occur in the same airspace in presence of many static and dynamic constraints such as airports, and high wind areas. Therefore, small UAS, typically 55 lb and below, operations need to be managed to ensure safety and efficiency of operations is maintained. This paper will describe the Concept of Operations (ConOps) for NASA’s UAS Traffic Management (UTM) research initiative. The UTM ConOps is focused on safely enabling large-scale small UAS (sUAS) operations in low altitude airspace. The UTM construct supports large-scale visual line of sight and beyond visual line of sight operations. It is based on two primary mantras: (1) flexibility where possible and structure where necessary (2) a risk-based approach where geographical needs and use case indicate the airspace performance requirements. Preliminary stakeholder feedback and initial UTM tests conducted by NASA show promise of UTM to enable large-scale low altitude UAS operations safely. © 2016 American Institute of Aeronautics and Astronautics Inc, AIAA. All rights reserved.</t>
  </si>
  <si>
    <t xml:space="preserve">16th AIAA Aviation Technology, Integration, and Operations Conference</t>
  </si>
  <si>
    <t xml:space="preserve">2-s2.0-84980417654</t>
  </si>
  <si>
    <t xml:space="preserve">Detection and classification of UAVs using RF Fingerprints in the Presence of Wi-Fi and bluetooth interference</t>
  </si>
  <si>
    <t xml:space="preserve">This paper investigates the problem of detection and classification of unmanned aerial vehicles (UAVs) in the presence of wireless interference signals using a passive radio frequency (RF) surveillance system. The system uses a multistage detector to distinguish signals transmitted by a UAV controller from the background noise and interference signals. First, RF signals from any source are detected using a Markov models-based naïve Bayes decision mechanism. When the receiver operates at a signal-to-noise ratio (SNR) of 10 dB, and the threshold, which defines the states of the models, is set at a level 3.5 times the standard deviation of the preprocessed noise data, a detection accuracy of 99.8% with a false alarm rate of 2.8% is achieved. Second, signals from Wi-Fi and Bluetooth emitters, if present, are detected based on the bandwidth and modulation features of the detected RF signal. Once the input signal is identified as a UAV controller signal, it is classified using machine learning (ML) techniques. Fifteen statistical features extracted from the energy transients of the UAV controller signals are fed to neighborhood component analysis (NCA), and the three most significant features are selected. The performance of the NCA and five different ML classifiers are studied for 15 different types of UAV controllers. A classification accuracy of 98.13% is achieved by k-nearest neighbor classifier at 25 dB SNR. Classification performance is also investigated at different SNR leve</t>
  </si>
  <si>
    <t xml:space="preserve">Interference; Machine learning; Markov models; RF fingerprinting; UAV detection and classification; Unmanned aerial vehicles (UAVs)</t>
  </si>
  <si>
    <t xml:space="preserve">IEEE Open Journal of the Communications Society</t>
  </si>
  <si>
    <t xml:space="preserve">10.1109/OJCOMS.2019.2955889</t>
  </si>
  <si>
    <t xml:space="preserve">2-s2.0-85122046306</t>
  </si>
  <si>
    <t xml:space="preserve">Machine Learning Inspired Sound-Based Amateur Drone Detection for Public Safety Applications</t>
  </si>
  <si>
    <t xml:space="preserve">In recent years, popularity of unmanned air vehicles enormously increased due to their autonomous moving capability and applications in various domains. This also results in some serious security threats, that needs proper investigation and timely detection of the amateur drones (ADr) to protect the security sensitive institutions. In this paper, we propose the novel machine learning (ML) framework for detection and classification of ADr sounds out of the various sounds like bird, airplanes, and thunderstorm in the noisy environment. To extract the necessary features from ADr sound, Mel frequency cepstral coefficients (MFCC), and linear predictive cepstral coefficients (LPCC) feature extraction techniques are implemented. After feature extraction, support vector machines (SVM) with various kernels are adopted to accurately classify these sounds. The experimental results verify that SVM cubic kernel with MFCC outperform LPCC method by achieving around 96.7% accuracy for ADr detection. Moreover, the results verified that the proposed ML scheme has more than 17% detection accuracy, compared with correlation-based drone sound detection scheme that ignores ML prediction. © 1967-2012 IEEE.</t>
  </si>
  <si>
    <t xml:space="preserve">acoustic-based surveillance; Amateur drone detection; feature extraction; monitoring drone architecture; public safety; UAV</t>
  </si>
  <si>
    <t xml:space="preserve">10.1109/TVT.2019.2893615</t>
  </si>
  <si>
    <t xml:space="preserve">2-s2.0-85063268841</t>
  </si>
  <si>
    <t xml:space="preserve">Combined RF-Based Drone Detection and Classification</t>
  </si>
  <si>
    <t xml:space="preserve">Despite several beneficial applications, unfortunately, drones are also being used for illicit activities such as drug trafficking, firearm smuggling or to impose threats to security-sensitive places like airports and nuclear power plants. The existing drone localization and neutralization technologies work on the assumption that the drone has already been detected and classified. Although we have observed a tremendous advancement in the sensor industry in this decade, there is no robust drone detection and classification method proposed in the literature yet. This paper focuses on radio frequency (RF) based drone detection and classification using the frequency signature of the transmitted signal. We have created a novel drone RF dataset using commercial drones and presented a detailed comparison between a two-stage and combined detection and classification framework. The detection and classification performance of both frameworks are presented for a single-signal and simultaneous multi-signal scenario. With detailed analysis, we show that You Only Look Once (YOLO) framework provides better detection performance compared to the Goodness-of-Fit (GoF) spectrum sensing for a simultaneous multi-signal scenario and good classification performance comparable to Deep Residual Neural Network (DRNN) framework. © 2015 IEEE.</t>
  </si>
  <si>
    <t xml:space="preserve">sensor systems and applications; Signal detection and classification; UAV</t>
  </si>
  <si>
    <t xml:space="preserve">IEEE Transactions on Cognitive Communications and Networking</t>
  </si>
  <si>
    <t xml:space="preserve">10.1109/TCCN.2021.3099114</t>
  </si>
  <si>
    <t xml:space="preserve">2-s2.0-85112640839</t>
  </si>
  <si>
    <t xml:space="preserve">High-Speed Drone Detection Based On Yolo-V8</t>
  </si>
  <si>
    <t xml:space="preserve">Detecting drones in a video is a challenging problem due to their dynamic movements and varying range of scales. Moreover, since drone detection is often required for security, it should be as fast as possible. In this paper, we modify the state-of-the-art YOLO-V8 to achieve fast and reliable drone detection. Specifically, we add Multi-Scale Image Fusion and P2 Layer to the medium-size model (M-model) of YOLO-V8. Our model was evaluated in the 6th WOSDETC challenge. © 2023 IEEE.</t>
  </si>
  <si>
    <t xml:space="preserve">Drone Detection; Small-object detection; YOLO-V8</t>
  </si>
  <si>
    <t xml:space="preserve">ICASSP, IEEE International Conference on Acoustics, Speech and Signal Processing - Proceedings</t>
  </si>
  <si>
    <t xml:space="preserve">10.1109/ICASSP49357.2023.10095516</t>
  </si>
  <si>
    <t xml:space="preserve">2-s2.0-85177596046</t>
  </si>
  <si>
    <t xml:space="preserve">Managing the drone revolution: A systematic literature review into the current use of airborne drones and future strategic directions for their effective control</t>
  </si>
  <si>
    <t xml:space="preserve">Commercial and private deployment of airborne drones is revolutionising many ecosystems. To identify critical issues and research gaps, our systematic literature review findings suggest that historic issues such as privacy, acceptance and security are increasingly replaced by operational considerations including interaction with and impacts on other airspace users. Recent incidents show that unrestricted drone use can inflict problems on other airspace users like airports and emergency services. Our review of current regulatory approaches shows a need for further policy and management response to both manage rapid and efficient drone usage growth, and facilitate innovation (e.g. intraurban package delivery), with one promising strategic response being low altitude airspace management (LAAM) systems for all drone use cases. © 2020 Elsevier Ltd</t>
  </si>
  <si>
    <t xml:space="preserve">Air traffic control; Future of drones; Innovation; Low altitude airspace management (LAAM); Strategy; Systematic literature review; Unmanned aerial vehicles (UAVs)</t>
  </si>
  <si>
    <t xml:space="preserve">Journal of Air Transport Management</t>
  </si>
  <si>
    <t xml:space="preserve">10.1016/j.jairtraman.2020.101929</t>
  </si>
  <si>
    <t xml:space="preserve">2-s2.0-85090723462</t>
  </si>
  <si>
    <t xml:space="preserve">Deep Learning-Based UAV Detection in Pulse-Doppler Radar</t>
  </si>
  <si>
    <t xml:space="preserve">With the popularity of unmanned aerial vehicles (UAVs), how to conduct automatic and effective detection to prevent unauthorized flying has become an important issue. The conventional constant false alarm rate (CFAR) detector based on radar signal has shown advantages in moving target detection. However, the CFAR-based detectors are strongly dependent on some manual experience, such as the ambient noise distribution estimation and the detection windows' size selection, and usually suffered poor performance on small UAV detection due to the weak signal. Inspired by the success of deep learning (DL) on natural scene object detection, this article tries to explore a DL-based method for UAV detection in pulse-Doppler radar. Concretely, we propose a convolutional neural network (CNN) with two heads: one for the classification of the input range-Doppler map patch into target present or target absent and the other for the regression of offset between the target and the patch center. Then, based on the output of the network, a nonmaximum suppression (NMS) mechanism composed of probability-based initial recognition, distribution density-based recognition, and voting-based regression is developed to reduce false alarms as well as control the false alarms. Finally, experiments on both simulated data and real data are carried out, and it is shown that the proposed method can locate the target more accurately and achieve a much lower false alarm rate at a comparable detection rate than CF</t>
  </si>
  <si>
    <t xml:space="preserve">Convolutional neural network (CNN); Moving target detection; Nonmaximum suppression (NMS); Range-Doppler (R-D) map; Regression network</t>
  </si>
  <si>
    <t xml:space="preserve">10.1109/TGRS.2021.3104907</t>
  </si>
  <si>
    <t xml:space="preserve">2-s2.0-85113301040</t>
  </si>
  <si>
    <t xml:space="preserve">Real-time and accurate drone detection in a video with a static background</t>
  </si>
  <si>
    <t xml:space="preserve">With the increasing number of drones, the danger of their illegal use has become relevant. This has necessitated the creation of automatic drone protection systems. One of the important tasks solved by these systems is the reliable detection of drones near guarded objects. This problem can be solved using various methods. From the point of view of the price–quality ratio, the use of video cameras for a drone detection is of great interest. However, drone detection using visual information is hampered by the large similarity of drones to other objects, such as birds or airplanes. In addition, drones can reach very high speeds, so detection should be done in real time. This paper addresses the problem of real-time drone detection with high accuracy. We divided the drone detection task into two separate tasks: the detection of moving objects and the classification of the detected object into drone, bird, and background. The moving object detection is based on background subtraction, while classification is performed using a convolutional neural network (CNN). The experimental results showed that the proposed approach can achieve an accuracy comparable to existing approaches at high processing speed. We also concluded that the main limitation of our detector is the dependence of its performance on the presence of a moving background. © 2020 by the authors. Licensee MDPI, Basel, Switzerland.</t>
  </si>
  <si>
    <t xml:space="preserve">Computer vision; Deep learning; Image processing; Object detection; Unmanned aerial vehicles</t>
  </si>
  <si>
    <t xml:space="preserve">Sensors (Switzerland)</t>
  </si>
  <si>
    <t xml:space="preserve">10.3390/s20143856</t>
  </si>
  <si>
    <t xml:space="preserve">2-s2.0-85087622606</t>
  </si>
  <si>
    <t xml:space="preserve">Trajectory Design and Power Control for Joint Radar and Communication Enabled Multi-UAV Cooperative Detection Systems</t>
  </si>
  <si>
    <t xml:space="preserve">In recent years, joint radar and communication (JRC) has gained substantial attention due to its high spectrum efficiency and equipment utilization. In this paper, we consider a JRC-enabled multi-UAV cooperative detection scenario, in which each UAV equipped with a JRC unit simultaneously performs the detection function to sense multiple targets and the communication function to transmit the detected data to a fusion center. To strike a trade-off between radar sensory and communication performance for all UAVs, we optimize the transmit power, resource allocation and navigation for each UAV to maximize their sensing scores and the geographical fairness of the targets on the condition of the quality requirements of communication and radar sensing. This problem is a mixed integer non-convex optimization that is challenging to be solved in practice. Considering the complexity of the optimization and dynamics of the UAV environment, we design a learning based trajectory planning and resource allocation (LTPRA) algorithm that leverages multiple learning agents to find effective policies from experiences while guaranteeing communication and sensing performance. To improve the environmental exploration of agents, we design an incentive mechanism for their detection behavior and introduce a policy regularization method to mitigate policy overfitting in multi-agent cooperation. Numerical results reveal the convergence performance of the proposed algorithm and show the improvement on de</t>
  </si>
  <si>
    <t xml:space="preserve">Joint radar and communication; multi-agent deep reinforcement learning; multi-UAV trajectory design; resource allocation</t>
  </si>
  <si>
    <t xml:space="preserve">IEEE Transactions on Communications</t>
  </si>
  <si>
    <t xml:space="preserve">10.1109/TCOMM.2022.3224751</t>
  </si>
  <si>
    <t xml:space="preserve">2-s2.0-85144059592</t>
  </si>
  <si>
    <t xml:space="preserve">U-space concept of operations: A key enabler for opening airspace to emerging low-altitude operations</t>
  </si>
  <si>
    <t xml:space="preserve">Opening the sky to new classes of airspace user is a political and economic imperative for the European Union. Drone industries have a significant potential for economical growth according to the latest estimations. To enable this growth safely and efficiently, the CORUS project has developed a concept of operations for drones flying in Europe in very low-level airspace, which they have to share that space with manned aviation, and quite soon with urban air mobility aircraft as well. U-space services and the development of smart, automated, interoperable, and sustainable traffic management solutions are presented as the key enabler for achieving this high level of integration. In this paper, we present the U-space concept of operations (ConOps), produced around three new types of airspace volume, called X, Y, and Z, and the relevant U-space services that will need to be supplied in each of these. The paper also describes the reference high-level U-space architecture using the European air traffic management architecture methodology. Finally, the paper proposes the basis for the aircraft separation standards applicable by each volume, to be used by the conflict detection and resolution services of U-space. © 2019 by the authors.</t>
  </si>
  <si>
    <t xml:space="preserve">Aircraft separation; Airspace; ConOps-UAS; Drones; U-space architecture</t>
  </si>
  <si>
    <t xml:space="preserve">Aerospace</t>
  </si>
  <si>
    <t xml:space="preserve">10.3390/aerospace7030024</t>
  </si>
  <si>
    <t xml:space="preserve">2-s2.0-85083714207</t>
  </si>
  <si>
    <t xml:space="preserve">Micro-UAV Detection and Classification from RF Fingerprints Using Machine Learning Techniques</t>
  </si>
  <si>
    <t xml:space="preserve">This paper focuses on the detection and classification of micro-unmanned aerial vehicles (UAVs)using radio frequency (RF)fingerprints of the signals transmitted from the controller to the micro-UAV. In the detection phase, raw signals are split into frames and transformed into the wavelet domain to remove the bias in the signals and reduce the size of data to be processed. A naive Bayes approach, which is based on Markov models generated separately for UAV and non-UAV classes, is used to check for the presence of a UAV in each frame. In the classification phase, unlike the traditional approaches that rely solely on time-domain signals and corresponding features, the proposed technique uses the energy transient signal. This approach is more robust to noise and can cope with different modulation techniques. First, the normalized energy trajectory is generated from the energy-time-frequency distribution of the raw control signal. Next, the start and end points of the energy transient are detected by searching for the most abrupt changes in the mean of the energy trajectory. Then, a set of statistical features is extracted from the energy transient. Significant features are selected by performing neighborhood component analysis (NCA)to keep the computational cost of the algorithm low. Finally, selected features are fed to several machine learning algorithms for classification. The algorithms are evaluated experimentally using a database containing 100 RF signals from each of 14 d</t>
  </si>
  <si>
    <t xml:space="preserve">IEEE Aerospace Conference Proceedings</t>
  </si>
  <si>
    <t xml:space="preserve">10.1109/AERO.2019.8741970</t>
  </si>
  <si>
    <t xml:space="preserve">2-s2.0-85068315515</t>
  </si>
  <si>
    <t xml:space="preserve">Drone Detection Using YOLOv5</t>
  </si>
  <si>
    <t xml:space="preserve">The rapidly increasing number of drones in the national airspace, including those for recreational and commercial applications, has raised concerns regarding misuse. Autonomous drone detection systems offer a probable solution to overcoming the issue of potential drone misuse, such as drug smuggling, violating people’s privacy, etc. Detecting drones can be difficult, due to similar objects in the sky, such as airplanes and birds. In addition, automated drone detection systems need to be trained with ample amounts of data to provide high accuracy. Real-time detection is also necessary, but this requires highly configured devices such as a graphical processing unit (GPU). The present study sought to overcome these challenges by proposing a one-shot detector called You Only Look Once version 5 (YOLOv5), which can train the proposed model using pre-trained weights and data augmentation. The trained model was evaluated using mean average precision (mAP) and recall measures. The model achieved a 90.40% mAP, a 21.57% improvement over our previous model that used You Only Look Once version 4 (YOLOv4) and was tested on the same dataset. © 2023 by the authors.</t>
  </si>
  <si>
    <t xml:space="preserve">autonomous drone detection; image recognition; machine learning; mAP; unmanned aerial vehicle (UAV); YOLOv5</t>
  </si>
  <si>
    <t xml:space="preserve">Eng</t>
  </si>
  <si>
    <t xml:space="preserve">10.3390/eng4010025</t>
  </si>
  <si>
    <t xml:space="preserve">2-s2.0-85161591061</t>
  </si>
  <si>
    <t xml:space="preserve">Drone Detection and Localization Using Enhanced Fiber-Optic Acoustic Sensor and Distributed Acoustic Sensing Technology</t>
  </si>
  <si>
    <t xml:space="preserve">In recent years, the widespread use of drones has led to serious concerns about safety and privacy. Drone detection using microphone arrays has proven to be a promising method. However, it is challenging for microphones to serve large-scale applications due to the issues of synchronization, complexity, and data management. Moreover, distributed acoustic sensing (DAS) using optical fibers has demonstrated its advantages in monitoring vibrations over long distances but does not have the necessary sensitivity for weak airborne acoustics. In this work, we present, to the best of our knowledge, the first fiber-optic quasi-distributed acoustic sensing demonstration for drone surveillance. We develop enhanced fiber-optic acoustic sensors (FOASs) for DAS to detect drone sound. The FOAS shows an ultra-high measured sensitivity of -101.21 re. 1rad/μPa, as well as the capability for high-fidelity speech recovery. A single DAS can interrogate a series of FOASs over a long distance via optical fiber, enabling intrinsic synchronization and centralized signal processing. We demonstrate the field test of drone detection and localization by concatenating four FOASs as a sensing array and capturing the airborne sound remotely through DAS. Both the waveforms and spectral features of the drone sound are recognized. With acoustic field mapping and data fusion, accurate drone localization is achieved with a root-mean-square error (RMSE) of 1.47 degrees. This approach holds great potential in large</t>
  </si>
  <si>
    <t xml:space="preserve">Acoustic array processing; distributed acoustic sensing; drone detection; fiber-optic acoustic sensor; localization; unmanned aerial vehicle</t>
  </si>
  <si>
    <t xml:space="preserve">Journal of Lightwave Technology</t>
  </si>
  <si>
    <t xml:space="preserve">10.1109/JLT.2022.3208451</t>
  </si>
  <si>
    <t xml:space="preserve">2-s2.0-85139446598</t>
  </si>
  <si>
    <t xml:space="preserve">Drone vs. Bird detection: Deep learning algorithms and results from a grand challenge</t>
  </si>
  <si>
    <t xml:space="preserve">Adopting effective techniques to automatically detect and identify small drones is a very compelling need for a number of different stakeholders in both the public and private sectors. This work presents three different original approaches that competed in a grand challenge on the “Drone vs. Bird” detection problem. The goal is to detect one or more drones appearing at some time point in video sequences where birds and other distractor objects may be also present, together with motion in background or foreground. Algorithms should raise an alarm and provide a position estimate only when a drone is present, while not issuing alarms on birds, nor being confused by the rest of the scene. In particular, three original approaches based on different deep learning strategies are proposed and compared on a real-world dataset provided by a consortium of universities and research centers, under the 2020 edition of the Drone vs. Bird Detection Challenge. Results show that there is a range in difficulty among different test sequences, depending on the size and the shape visibility of the drone in the sequence, while sequences recorded by a moving camera and very distant drones are the most challenging ones. The performance comparison reveals that the different approaches perform somewhat complementary, in terms of correct detection rate, false alarm rate, and average precision. © 2021 by the authors. Licensee MDPI, Basel, Switzerland.</t>
  </si>
  <si>
    <t xml:space="preserve">Automatic recognition; Deep learning; Drone detection; Drone vs. bird; Image and video signal processing</t>
  </si>
  <si>
    <t xml:space="preserve">Sensors</t>
  </si>
  <si>
    <t xml:space="preserve">10.3390/s21082824</t>
  </si>
  <si>
    <t xml:space="preserve">2-s2.0-85104311184</t>
  </si>
  <si>
    <t xml:space="preserve">Deep-Reinforcement-Learning-Based Collision Avoidance in UAV Environment</t>
  </si>
  <si>
    <t xml:space="preserve">Unmanned aerial vehicles (UAVs) have recently attracted both academia and industry representatives due to their utilization in tremendous emerging applications. Most UAV applications adopt visual line of sight (VLOS) due to ongoing regulations. There is a consensus between industry for extending UAVs' commercial operations to cover the urban and populated area-controlled airspace beyond VLOS (BVLOS). There is ongoing regulation for enabling BVLOS UAV management. Regrettably, this comes with unavoidable challenges related to UAVs' autonomy for detecting and avoiding static and mobile objects. An intelligent component should either be deployed onboard the UAV or at a multiaccess-edge computing (MEC) that can read the gathered data from different UAV's sensors, process them, and then make the right decision to detect and avoid the physical collision. The sensing data should be collected using various sensors but not limited to Lidar, depth camera, video, or ultrasonic. This article proposes probabilistic and deep-reinforcement-learning (DRL)-based algorithms for avoiding collisions while saving energy consumption. The proposed algorithms can be either run on top of the UAV or at the MEC according to the UAV capacity and the task overhead. We have designed and developed our algorithms to work for any environment without a need for any prior knowledge. The proposed solutions have been evaluated in a harsh environment that consists of many UAVs moving randomly in a small area witho</t>
  </si>
  <si>
    <t xml:space="preserve">Collision avoidance; Deep reinforcement learning; Machine learning; Multiaccess-edge computing (MEC); Unmanned aerial vehicles (UAVs)</t>
  </si>
  <si>
    <t xml:space="preserve">10.1109/JIOT.2021.3118949</t>
  </si>
  <si>
    <t xml:space="preserve">2-s2.0-85117080707</t>
  </si>
  <si>
    <t xml:space="preserve">Real-time drone detection and tracking with visible, thermal and acoustic sensors</t>
  </si>
  <si>
    <t xml:space="preserve">This paper explores the process of designing an automatic multi-sensor drone detection system. Besides the common video and audio sensors, the system also includes a thermal infrared camera, which is shown to be a feasible solution to the drone detection task. Even with slightly lower resolution, the performance is just as good as a camera in visible range. The detector performance as a function of the sensor-to-target distance is also investigated. In addition, using sensor fusion, the system is made more robust than the individual sensors, helping to reduce false detections. To counteract the lack of public datasets, a novel video dataset containing 650 annotated infrared and visible videos of drones, birds, airplanes and helicopters is also presented1. The database is complemented with an audio dataset of the classes drones, helicopters and background noise. © 2020 IEEE</t>
  </si>
  <si>
    <t xml:space="preserve">Proceedings - International Conference on Pattern Recognition</t>
  </si>
  <si>
    <t xml:space="preserve">10.1109/ICPR48806.2021.9413241</t>
  </si>
  <si>
    <t xml:space="preserve">2-s2.0-85109250336</t>
  </si>
  <si>
    <t xml:space="preserve">Private blockchain-based access control mechanism for unauthorized UAV detection and mitigation in Internet of Drones environment</t>
  </si>
  <si>
    <t xml:space="preserve">Drones, which are also known as Unmanned Aerial Vehicles (UAVs), are very useful in delivering the packages, and real-time object detection and tracking with minimal human interference. However, there may be several security threats in such an environment, for instance, a malicious user can spy unauthorized drones, transfer malicious packages, or even damage the network reliability that can have direct impact on drones control. This may lead to a potential threat for people, governments, and business sectors. To deal with these issues, in this paper, we propose a novel access control scheme for unauthorized UAV detection and mitigation in an Internet of Drones (IoD) environment, called ACSUD-IoD. With the help of the blockchain-based solution incorporated in ACSUD-IoD, the transactional data having both the normal secure data from a drone (UAV) to the Ground Station Server (GSS) and the abnormal (suspected) data for detection of unauthorized UAVs by the GSS are stored in private blockchain, that are authentic and genuine. As a result, the Big data analytics can be performed on the authenticated transactional data stored in the blockchain. Through the detailed security analysis including formal security under the broadly-accepted Real-Or-Random (ROR) model, formal security verification using the widely-applied Automated Validation of Internet Security Protocols and Applications (AVISPA) tool and non-mathematical security analysis show the robustness of the proposed scheme agai</t>
  </si>
  <si>
    <t xml:space="preserve">Access control; AVISPA; Blockchain; Internet of drones (IoD); Security; UAV detection and mitigation</t>
  </si>
  <si>
    <t xml:space="preserve">10.1016/j.comcom.2020.12.005</t>
  </si>
  <si>
    <t xml:space="preserve">2-s2.0-85097572490</t>
  </si>
  <si>
    <t xml:space="preserve">Overview of Path-Planning and Obstacle Avoidance Algorithms for UAVs: A Comparative Study</t>
  </si>
  <si>
    <t xml:space="preserve">Unmanned aerial vehicles (UAVs) have recently attracted the attention of researchers due to their numerous potential civilian applications. However, current robot navigation technologies need further development for efficient application to various scenarios. One key issue is the "Sense and Avoid" capability, currently of immense interest to researchers. Such a capability is required for safe operation of UAVs in civilian domain. For autonomous decision making and control of UAVs, several path-planning and navigation algorithms have been proposed. This is a challenging task to be carried out in a 3D environment, especially while accounting for sensor noise, uncertainties in operating conditions, and real-Time applicability. Heuristic and non-heuristic or exact techniques are the two solution methodologies that categorize path-planning algorithms. The aim of this paper is to carry out a comprehensive and comparative study of existing UAV path-planning algorithms for both methods. Three different obstacle scenarios test the performance of each algorithm. We have compared the computational time and solution optimality, and tested each algorithm with variations in the availability of global and local obstacle information. © 2018 World Scientific Publishing Company.</t>
  </si>
  <si>
    <t xml:space="preserve">algorithm efficiency; obstacle avoidance; path-planning; sense and avoid; UAV</t>
  </si>
  <si>
    <t xml:space="preserve">Unmanned Systems</t>
  </si>
  <si>
    <t xml:space="preserve">10.1142/S2301385018400022</t>
  </si>
  <si>
    <t xml:space="preserve">2-s2.0-85043387727</t>
  </si>
  <si>
    <t xml:space="preserve">High-fidelity computational aerodynamics of multi-rotor unmanned aerial vehicles</t>
  </si>
  <si>
    <t xml:space="preserve">High-fidelity Computational Fluid Dynamics (CFD) simulations have been carried out for several multi-rotor Unmanned Aerial Vehicles (UAVs). Three vehicles have been studied: the classic quadcopter DJI Phantom 3, an unconventional quadcopter specialized for forward flight, the SUI Endurance, and an innovative concept for Urban Air Mobility (UAM), the Elytron 4S UAV. The three-dimensional unsteady Navier-Stokes equations are solved on overset grids using high-order accurate schemes, dual-time stepping, and a hybrid turbulence model. The DJI Phantom 3 is simulated with different rotors and with both a simplified airframe and the real airframe including landing gear and a camera. The effects of weather are studied for the DJI Phantom 3 quadcopter in hover. The SUI Endurance original design is compared in forward flight to a new configuration conceived by the authors, the hybrid configuration, which gives a large improvement in forward thrust. The Elytron 4S UAV is simulated in helicopter mode and in airplane mode. Understanding the complex flows in multi-rotor vehicles will help design quieter, safer, and more efficient future drones and UAM vehicles. © 2018 by the American Institute of Aeronautics and Astronautics, Inc. All rights reserved.</t>
  </si>
  <si>
    <t xml:space="preserve">AIAA Aerospace Sciences Meeting, 2018</t>
  </si>
  <si>
    <t xml:space="preserve">10.2514/6.2018-1266</t>
  </si>
  <si>
    <t xml:space="preserve">2-s2.0-85141564150</t>
  </si>
  <si>
    <t xml:space="preserve">Drone Detection Approach Based on Radio-Frequency Using Convolutional Neural Network</t>
  </si>
  <si>
    <t xml:space="preserve">Recently, Unmanned Aerial Vehicles, also known as drones, are becoming rapidly popular due to the advancement of their technology and the significant decrease in their cost. Although commercial drones have proven their effectiveness in many day to day applications such as cinematography, agriculture monitoring and search and rescue, they are also being used in malicious activities that are targeting to harm individuals and societies which raises great privacy, safety and security concerns. In this research, we propose a new drone detection solution based on the Radio Frequency (RF) emitted during the live communication session between the drone and its controller using a Deep Learning (DL) technique, namely, the Convolutional Neural Network (CNN). The results of the study have proven the effectiveness of using CNN for drone detection with accuracy and F1 score of over 99.7% and drone identification with accuracy and F1 score of 88.4%. Moreover, the results yielded from this experiment have outperformed those reported in the literature for RF based drone detection using Deep Neural Networks. © 2020 IEEE.</t>
  </si>
  <si>
    <t xml:space="preserve">CNN; Convolutional Neural Networks; Deep learning; DL; Drone Detection; Drone Identification; Infrastructure Security; machine learning; ML; Radio Frequency; RF</t>
  </si>
  <si>
    <t xml:space="preserve">2020 IEEE International Conference on Informatics, IoT, and Enabling Technologies, ICIoT 2020</t>
  </si>
  <si>
    <t xml:space="preserve">10.1109/ICIoT48696.2020.9089489</t>
  </si>
  <si>
    <t xml:space="preserve">2-s2.0-85085478429</t>
  </si>
  <si>
    <t xml:space="preserve">6G Enabled Unmanned Aerial Vehicle Traffic Management: A Perspective</t>
  </si>
  <si>
    <t xml:space="preserve">Unmanned aerial vehicles (UAVs) and UAV traffic management (UTM) have drawn attention for applications such as parcel delivery, aerial mapping, agriculture, and surveillance based on line-of-sight (LoS) links. UTM is essential to operate multiple fully autonomous UAVs safely beyond the visual line of sight (BVLoS) in the future dense UAV traffic environment. Various research and development teams globally take UTM initiatives and work on platform testing with different industrial partners. In the future, urban airspace will be congested with various types of autonomous aerial vehicles, thereby resulting in complex air-traffic management caused by communication issues. The UTM requires an efficient communication backbone to handle all airborne communication services. Existing cellular networks are suitable only for terrestrial communication and have limitations in supporting aerial communications. These issues motivate the investigation of an appropriate communication technology for advanced UTM systems. Thus, in this study, we present a future perspective of 6G-enabled UTM ecosystems in a very dense and urban air-traffic scenario focusing on non-terrestrial features, including aerial and satellite communication. We also introduce several urban airspace segmentation and discuss a strategic management framework for dynamic airspace traffic management and conflict-free UAV operations. The UTM enhances the adaptive use of the airspace by shaping the airspace with the overall aim </t>
  </si>
  <si>
    <t xml:space="preserve">6G; personalized aerial vehicle; traffic management; Unmanned aerial vehicle; UTM system</t>
  </si>
  <si>
    <t xml:space="preserve">10.1109/ACCESS.2021.3092039</t>
  </si>
  <si>
    <t xml:space="preserve">2-s2.0-85112728118</t>
  </si>
  <si>
    <t xml:space="preserve">Automated drone detection using YOLOv4</t>
  </si>
  <si>
    <t xml:space="preserve">Drones are increasing in popularity and are reaching the public faster than ever before. Consequently, the chances of a drone being misused are multiplying. Automated drone detection is necessary to prevent unauthorized and unwanted drone interventions. In this research, we designed an automated drone detection system using YOLOv4. The model was trained using drone and bird datasets. We then evaluated the trained YOLOv4 model on the testing dataset, using mean average precision (mAP), frames per second (FPS), precision, recall, and F1-score as evaluation parameters. We next collected our own two types of drone videos, performed drone detections, and calculated the FPS to identify the speed of detection at three altitudes. Our methodology showed better performance than what has been found in previous similar studies, achieving a mAP of 74.36%, precision of 0.95, recall of 0.68, and F1-score of 0.79. For video detection, we achieved an FPS of 20.5 on the DJI Phantom III and an FPS of 19.0 on the DJI Mavic Pro. © 2021 by the authors. Licensee MDPI, Basel, Switzerland.</t>
  </si>
  <si>
    <t xml:space="preserve">Drone detection; F1-score; FPS; MAP; Precision; Recall; YOLOv4</t>
  </si>
  <si>
    <t xml:space="preserve">10.3390/drones5030095</t>
  </si>
  <si>
    <t xml:space="preserve">2-s2.0-85115638681</t>
  </si>
  <si>
    <t xml:space="preserve">An Air-to-Ground Relay Communication Planning Method for UAVs Swarm Applications</t>
  </si>
  <si>
    <t xml:space="preserve">For civil applications of Unmanned Aerial Vehicles (UAVs) for search, and emergency, data transmission between UAVs and Ground Control Stations (GCS) is always suffered from long distance, undulating terrains or other interferences. Thus, relaying is a critical enhancing technology in wireless communications for better service quality. In this paper, a planning method for fixed-wing relay UAV (RU) serving to sequential tasks of UAV swarm is proposed. Firstly, considering characteristics of signal propagation, antenna, environment and UAV, the UAV-to-GCS and UAV-to-UAV communication models are designed. And the limits of communication are investigated, which are crucial issues to provide a guarantee for swarm mission. Meanwhile, based on the analysis of relay UAVs requirements during the spatial distribution of tasks, a mixed integer nonlinear programming problem (MINLP) is constructed to solve the approximate number of relay nodes and access locations. Then aiming for the minimum number of relay UAVs, a continuous time-sharing relay UAVs reward model is constructed, and the consensus-based bundle algorithm (CBBA) is adopted to obtain the maximum rewards, including the number of relay nodes, mission sequences and route planning. Finally, the numerical simulation for a typical scenario is conducted to show the performance of the proposed approach.  © 2016 IEEE.</t>
  </si>
  <si>
    <t xml:space="preserve">communication model; conflict resolution; Relay UAV; task planning; UAV swarm</t>
  </si>
  <si>
    <t xml:space="preserve">10.1109/TIV.2023.3237329</t>
  </si>
  <si>
    <t xml:space="preserve">2-s2.0-85147270871</t>
  </si>
  <si>
    <t xml:space="preserve">UAV Detection and Identification Based on WiFi Signal and RF Fingerprint</t>
  </si>
  <si>
    <t xml:space="preserve">The security threats caused by the popularity of Unmanned Aerial Vehicles (UAVs) have received much attention. In this paper, a UAV detection and identification system based on WiFi signal and radio frequency (RF) fingerprint is proposed. The system firstly conducts UAV detection and after the UAV is detected, fractal dimension (FD), axially integrated bispectra (AIB), and square integrated bispectra (SIB) are extracted as UAV RF fingerprints due to their applicability and reliability. Furthermore, we propose weighted AIB and SIB fingerprints to identify UAVs. Since the high dimensionality of AIB and SIB features, the principal component analysis (PCA) algorithm is applied to reduce the dimensionality of these two features. Then the neighborhood component analysis (NCA) algorithm is utilized to weight the dimensions of the two features, AIB and SIB. The extracted UAV fingerprints are stored as training data and test data, respectively. Finally, machine learning algorithms are utilized to identify UAVs. The identification results are as follows: In the indoor scenario, the average identification accuracy of three features (FD, AIB, SIB) are 100%, 97.23%, and 96.11%, respectively. In outdoor scenario, the identification accuracy of three features are 100%, 95.00%, and 93.50%, respectively.  © 2001-2012 IEEE.</t>
  </si>
  <si>
    <t xml:space="preserve">bispectrum; fractal dimension (FD); RF fingerprint; UAV detection and identification; Unmanned aerial vehicles (UAVs)</t>
  </si>
  <si>
    <t xml:space="preserve">10.1109/JSEN.2021.3068444</t>
  </si>
  <si>
    <t xml:space="preserve">2-s2.0-85103272254</t>
  </si>
  <si>
    <t xml:space="preserve">SLBAF-Net: Super-Lightweight bimodal adaptive fusion network for UAV detection in low recognition environment</t>
  </si>
  <si>
    <t xml:space="preserve">Unmanned aerial vehicle (UAV) detection has significant research value in the field of military and civilian applications. However, the traditional object detection algorithms commonly lack satisfying accuracy and robustness due to the intense illumination changes and extremely small size of UAVs on the remote sensor images with the sky background. This paper proposes a super-lightweight bimodal network SLBAF-Net with the adaptive fusion of visible light and infrared images for UAV detection under complex illumination and weather conditions. To handle complex illumination environments and meeting the low computing requirements of airborne computers, a super-lightweight bimodal UAV detection network inspired by YOLO's network structure is developed. In order to fuse bimodal features more effectively, the bimodal adaptive fusion module (BAFM) is proposed to perform an adaptive fusion of visible and infrared feature maps for the purpose of improving detection robustness in complex environments. To verify the superiority of our method, we build a complex dual-modal UAV dataset and conduct comprehensive comparison experiments with various state-of-art object detection networks. The experimental results show that the proposed SLBAF-Net outperforms other algorithms in terms of detection performance and robustness in harsh environments, with a precision rate of 0.909 and a recall rate of 0.912. Moreover, the SLBAF-Net can meet the real-time requirements of airborne computers, and the</t>
  </si>
  <si>
    <t xml:space="preserve">Adaptive fusion; Bi-modal network; Infrared image; SLBAF-Net; UAV detection</t>
  </si>
  <si>
    <t xml:space="preserve">10.1007/s11042-023-15333-w</t>
  </si>
  <si>
    <t xml:space="preserve">2-s2.0-85158998803</t>
  </si>
  <si>
    <t xml:space="preserve">Resource Allocation and Offloading Strategy for UAV-Assisted LEO Satellite Edge Computing</t>
  </si>
  <si>
    <t xml:space="preserve">In emergency situations, such as earthquakes, landslides and other natural disasters, the terrestrial communications infrastructure is severely disrupted and unable to provide services to terrestrial IoT devices. However, tasks in emergency scenarios often require high levels of computing power and energy supply that cannot be processed quickly enough by devices locally and require computational offloading. In addition, offloading tasks to server-equipped edge base stations may not always be feasible due to the lack of infrastructure or distance. Since Low Orbit Satellites (LEO) have abundant computing resources, and Unmanned Aerial Vehicles (UAVs) have flexible deployment, offloading tasks to LEO satellite edge servers via UAVs becomes straightforward, which provides computing services to ground-based devices. Therefore, this paper investigates the computational tasks and resource allocation in a UAV-assisted multi-layer LEO satellite network, taking into account satellite computing resources and device task volumes. In order to minimise the weighted sum of energy consumption and delay in the system, the problem is formulated as a constrained optimisation problem, which is then transformed into a Markov Decision Problem (MDP). We propose a UAV-assisted airspace integration network architecture, and a Deep Deterministic Policy Gradient and Long short-term memory (DDPG-LSTM)-based task offloading and resource allocation algorithm to solve the problem. Simulation results demons</t>
  </si>
  <si>
    <t xml:space="preserve">deep reinforcement learning; edge computing; task offloading</t>
  </si>
  <si>
    <t xml:space="preserve">10.3390/drones7060383</t>
  </si>
  <si>
    <t xml:space="preserve">2-s2.0-85163834502</t>
  </si>
  <si>
    <t xml:space="preserve">Rf-based UAV detection and identification using hierarchical learning approach</t>
  </si>
  <si>
    <t xml:space="preserve">Unmanned Aerial Vehicles (UAVs) are widely available in the current market to be used either for recreation as a hobby or to serve specific industrial requirements, such as agriculture and construction. However, illegitimate and criminal usage of UAVs is also on the rise which introduces their effective identification and detection as a research challenge. This paper proposes a novel machine learning-based for efficient identification and detection of UAVs. Specifically, an improved UAV identification and detection approach is presented using an ensemble learning based on the hierarchical concept, along with pre-processing and feature extraction stages for the Radio Frequency (RF) data. Filtering is applied on the RF signals in the detection approach to improve the output. This approach consists of four classifiers and they are working in a hierarchical way. The sample will pass the first classifier to check the availability of the UAV, and then it will specify the type of the detected UAV using the second classifier. The last two classifiers will handle the sample that is related to Bebop and AR to specify their mode. Evaluation of the proposed approach with publicly available dataset demonstrates better efficiency compared to existing detection systems in the literature. It has the ability to investigate whether a UAV is flying within the area or not, and it can directly identify the type of UAV and then the flight mode of the detected UAV with accuracy around 99%. © 2021 b</t>
  </si>
  <si>
    <t xml:space="preserve">Detection and identification; Machine learning; Radio frequency; Unmanned aerial vehicles</t>
  </si>
  <si>
    <t xml:space="preserve">10.3390/s21061947</t>
  </si>
  <si>
    <t xml:space="preserve">2-s2.0-85102403229</t>
  </si>
  <si>
    <t xml:space="preserve">An Acoustic-Based Surveillance System for Amateur Drones Detection and Localization</t>
  </si>
  <si>
    <t xml:space="preserve">Due to cost reduction and device miniaturization, amateur drones are now widely used in numerous civilian and commercial applications. However, the abuse of amateur drones has resulted in emerging threats to personal privacy and public security. To alleviate these threats, we design an acoustic-based surveillance system, which can achieve the capacity of amateur drones detection and localization with 24/7 (24 hours per day and 7 days per week under normal circumstances) availability. In the designed system, a detection fusion algorithm and a TDOA estimation algorithm based on the Bayesian filter are applied to improve the performance of drone detection and localization. Field experiments are carried out, and the results demonstrate that the designed system can detect and locate an amateur drone in real time with high accuracy and 24/7 availability. © 1967-2012 IEEE.</t>
  </si>
  <si>
    <t xml:space="preserve">Acoustic arrays; detection fusion; drone localization; drone surveillance; TDOA estimation</t>
  </si>
  <si>
    <t xml:space="preserve">10.1109/TVT.2020.2964110</t>
  </si>
  <si>
    <t xml:space="preserve">2-s2.0-85082063635</t>
  </si>
  <si>
    <t xml:space="preserve">UAV Trajectory Optimisation in Smart Cities Using Modified A∗ Algorithm Combined with Haversine and Vincenty Formulas</t>
  </si>
  <si>
    <t xml:space="preserve">It is anticipated that the backbone of Smart Cities concerning automation and networking will be formed by Unmanned Aerial Vehicles in the imminent future. Therefore, our research focuses on developing advanced microcontrollers embedded with Artificial Intelligence techniques for self-governing Unmanned Aerial Vehicles. The main objective of this research was to enable full automation for the execution of flight paths with non-trivial sequences that will be performed with centimetre-level accuracy. Also, by utilising dynamic flight plans and trajectories, we aim to secure autonomous aviation based on norms, with control loops and fundamental constraints. More specifically, we evolved a novel algorithmic technique for trajectory optimisation, which deploys a modification to the A∗ search algorithm, implemented by the Haversine formula and enhances accuracy using Vincenty's formula. Furthermore, realistic values for trajectory optimisation and obstacle avoidance were found through the implementation of a simulative investigation. The outcomes of our methodology indicate that the safety constraints associated with the integration of Unmanned Aerial Vehicles in the urban environment can be significantly mitigated. Consequently, their effectiveness will be increased in realising their diverse operations and capabilities.  © 1967-2012 IEEE.</t>
  </si>
  <si>
    <t xml:space="preserve">air traffic control; air transportation; aircraft navigation; autonomous; Internet of Things; Smart vehicles; Unmanned aerial vehicles</t>
  </si>
  <si>
    <t xml:space="preserve">10.1109/TVT.2023.3254604</t>
  </si>
  <si>
    <t xml:space="preserve">2-s2.0-85149901972</t>
  </si>
  <si>
    <t xml:space="preserve">Infrared Small UAV Target Detection Based on Depthwise Separable Residual Dense Network and Multiscale Feature Fusion</t>
  </si>
  <si>
    <t xml:space="preserve">Unmanned aerial vehicles (UAVs) have been widely applied in military and civilian fields, but they also pose great threats to restricted areas, such as densely populated areas and airports. Thermal infrared (IR) imaging technology is capable of monitoring UAVs at a long range in both day and night conditions. Therefore, the anti-UAV technology based on thermal IR imaging has attracted growing attention. However, the images acquired by IR sensors often suffer from small and dim targets, as well as heavy background clutter and noise. Conventional detection methods usually have a high false alarm rate and low detection accuracy. This article proposes a detection method that formulates the UAV detection as predicting the residual image (i.e., background, clutter, and noise) by learning the nonlinear mapping from the input image to the residual image. The UAV target image is obtained by subtracting the residual image from the input IR image. The constructed end-to-end U-shaped network exploits the depthwise separable residual dense blocks in the encoder stage to extract the abundant hierarchical features. Besides, the multiscale feature fusion and representation block is introduced to fully aggregate multiscale features from the encoder layers and intermediate connection layers at the same scale, as well as the decoder layers at different scales, to better reconstruct the residual image in the decoder stage. In addition, the global residual connection is adopted in the proposed ne</t>
  </si>
  <si>
    <t xml:space="preserve">Feature fusion; infrared (IR) small target; residual image prediction; target detection; unmanned aerial vehicle</t>
  </si>
  <si>
    <t xml:space="preserve">IEEE Transactions on Instrumentation and Measurement</t>
  </si>
  <si>
    <t xml:space="preserve">10.1109/TIM.2022.3198490</t>
  </si>
  <si>
    <t xml:space="preserve">2-s2.0-85136866965</t>
  </si>
  <si>
    <t xml:space="preserve">Gusts Encountered by Flying Vehicles in Proximity to Buildings</t>
  </si>
  <si>
    <t xml:space="preserve">There is a growing desire to operate Uncrewed Air Vehicles (UAVs) in urban environments for parcel delivery, and passenger-carrying air taxis for Advanced Air Mobility (AAM). The turbulent flows and gusts around buildings and other urban infrastructure can affect the steadiness and stability of such air vehicles by generating a highly transient relative flow field. Our aim is to review existing gust models, then consider gust encounters in the vicinity of buildings as experienced by flight trajectories over the roof of a nominally cuboid building in a suburban atmospheric boundary layer. Simplified models of fixed- and rotary-wing aircraft are used to illustrate the changes in lift and thrust experienced by flight around the building. The analysis showed that fixed-wing aircraft experienced a substantial increase in angle of attack over a relatively short period of time (&lt;1 s) as they fly through the shear layer at a representative forward velocity, which can be well above typical stall angles. Due to the slow flight speeds required for landing and take-off, significant control authority of rotor systems is required to ensure safe operation due to the high disturbance effects caused by localized gusts from buildings and protruding structures. Currently there appears to be negligible certification or regulation for AAM systems to ensure safe operations when traversing building flow fields under windy conditions and it is hoped that the insights provided in this paper will assi</t>
  </si>
  <si>
    <t xml:space="preserve">advanced air mobility; air taxi; buildings; certification; CFD; city; gust; infrastructure; limitation; regulation; severe; survey; turbulence; UAV; urban; urban air mobility; vertiports</t>
  </si>
  <si>
    <t xml:space="preserve">10.3390/drones7010022</t>
  </si>
  <si>
    <t xml:space="preserve">2-s2.0-85146783337</t>
  </si>
  <si>
    <t xml:space="preserve">Drone Detection and Tracking Using RF Identification Signals</t>
  </si>
  <si>
    <t xml:space="preserve">The market for unmanned aerial systems (UASs) has grown considerably worldwide, but their ability to transmit sensitive information poses a threat to public safety. To counter these threats, authorities, and anti-drone organizations are ensuring that UASs comply with regulations, focusing on strategies to mitigate the risks associated with malicious drones. This study presents a technique for detecting drone models using identification (ID) tags in radio frequency (RF) signals, enabling the extraction of real-time telemetry data through the decoding of Drone ID packets. The system, implemented with a development board, facilitates efficient drone tracking. The results of a measurement campaign performance evaluation include maximum detection distances of 1.3 km for the Mavic Air, 1.5 km for the Mavic 3, and 3.7 km for the Mavic 2 Pro. The system accurately estimates a drone’s 2D position, altitude, and speed in real time. Thanks to the decoding of telemetry packets, the system demonstrates promising accuracy, with worst-case distances between estimated and actual drone positions of 35 m for the Mavic 2 Pro, 17 m for the Mavic Air, and 15 m for the Mavic 3. In addition, there is a relative error of 14% for altitude measurements and 7% for speed measurements. The reaction times calculated to secure a vulnerable site within a 200 m radius are 1.83 min (Mavic Air), 1.03 min (Mavic 3), and 2.92 min (Mavic 2 Pro). This system is proving effective in addressing emerging concerns abo</t>
  </si>
  <si>
    <t xml:space="preserve">C-UAS; detection system; distance estimation; drone; Drone ID; drone position; reaction time; RF signal; tracking system; UAV</t>
  </si>
  <si>
    <t xml:space="preserve">10.3390/s23177650</t>
  </si>
  <si>
    <t xml:space="preserve">2-s2.0-85170347497</t>
  </si>
  <si>
    <t xml:space="preserve">Toward Realization of Low-Altitude Economy Networks: Core Architecture, Integrated Technologies, and Future Directions</t>
  </si>
  <si>
    <t xml:space="preserve">The rise of the low-altitude economy (LAE) is propelling urban development and emerging industries by integrating advanced technologies to enhance efficiency, safety, and sustainability in low-altitude operations. The widespread adoption of uncrewed aerial vehicles (UAVs) and electric vertical takeoff and landing (eVTOL) aircraft plays a crucial role in enabling key applications within LAE, such as urban logistics, emergency rescue, and aerial mobility. However, unlike traditional UAV networks, LAE networks encounter increased airspace management demands due to dense flying nodes and potential interference with ground communication systems. In addition, there are heightened and extended security risks in real-time operations, particularly the vulnerability of low-altitude aircraft to cyberattacks from ground-based threats. To address these, this paper first explores related standards and core architecture that support the development of LAE networks. Subsequently, we highlight the integration of technologies such as communication, sensing, computing, positioning, navigation, surveillance, flight control, and airspace management. We also analyze how generative artificial intelligence (GAI) contributes to this integration by enabling intelligent adaptation, uncertainty modeling, and real-time optimization. This synergy of multi-technology drives the advancement of real-world LAE applications, particularly in improving operational efficiency, optimizing airspace usage, and ensur</t>
  </si>
  <si>
    <t xml:space="preserve">electric vertical takeoff and landing (eVTOL); generative artificial intelligence (GAI); Low-altitude economy (LAE) networks; multi-technology integration; uncrewed aerial vehicles (UAVs)</t>
  </si>
  <si>
    <t xml:space="preserve">10.1109/TCCN.2025.3601015</t>
  </si>
  <si>
    <t xml:space="preserve">2-s2.0-105013875929</t>
  </si>
  <si>
    <t xml:space="preserve">Integrated Sensing and Communications for Low-Altitude Economy: A Deep Reinforcement Learning Approach</t>
  </si>
  <si>
    <t xml:space="preserve">This paper studies an integrated sensing and communications (ISAC) system for low-altitude economy (LAE), where a ground base station (GBS) provides communication and navigation services for authorized unmanned aerial vehicles (UAVs), while sensing the low-altitude airspace to monitor the unauthorized mobile target. The expected communication sum-rate over a given flight period is maximized by jointly optimizing the beamforming at the GBS and UAVs’ trajectories, subject to the constraints on the average signal-to-noise ratio requirement for sensing, the flight mission and collision avoidance of UAVs, as well as the maximum transmit power at the GBS. Typically, this is a sequential decision-making problem with the given flight mission. Thus, we transform it to a specific Markov decision process (MDP) model called episode task. Based on this modeling, we propose a novel LAE-oriented ISAC scheme, referred to as Deep LAE-ISAC (DeepLSC), by leveraging the deep reinforcement learning (DRL) technique. In DeepLSC, a reward function and a new action selection policy termed constrained noise-exploration policy are judiciously designed to fulfill various constraints. To enable efficient learning in episode tasks, we develop a hierarchical experience replay mechanism, where the gist is to employ all experiences generated within each episode to jointly train the neural network. Besides, to enhance the convergence speed of DeepLSC, a symmetric experience augmentation mechanism, which simul</t>
  </si>
  <si>
    <t xml:space="preserve">deep reinforcement learning (DRL); integrated sensing and communications (ISAC); joint beamforming and trajectory design; Low-altitude economy (LAE)</t>
  </si>
  <si>
    <t xml:space="preserve">IEEE Transactions on Wireless Communications</t>
  </si>
  <si>
    <t xml:space="preserve">10.1109/TWC.2025.3583950</t>
  </si>
  <si>
    <t xml:space="preserve">2-s2.0-105009948442</t>
  </si>
  <si>
    <t xml:space="preserve">YoloOW: A Spatial Scale Adaptive Real-Time Object Detection Neural Network for Open Water Search and Rescue From UAV Aerial Imagery</t>
  </si>
  <si>
    <t xml:space="preserve">Personnel and boat detection in unmanned aerial vehicles (UAVs) imagery plays a crucial role in open water search and rescue missions. The diverse perspectives and altitudes of UAV images often result in significant variations in the imagery's appearance and dimensions of personnel and boats, and the false detections arising from water surface flares are acknowledged as a great challenge as well. The existing deep learning-based detection methods employ convolutional blocks with fixed kernel sizes to extract features from the imagery at a fixed spatial scale, which will lead to missed and false detections and severely affect detection accuracy when there are substantial differences in the appearance and size of the target objects. In this article, a spatial scale adaptive real-time object detection neural network, namely YoloOW, was proposed to tackle the challenge of personnel and boat detection amid the diverse UAV imagery, which comprises a feature extractor, a feature enhancer, and a postprocessor. The OaohRep convolutional block was proposed as a pivotal component in constructing the YoloOW and applied to the feature extractor and the feature enhancer. Compared with general convolution blocks, the OaohRep convolution block can extract image features across a wide range of spatial scales, show better scale adaptability, and achieve faster detection speed due to its unique merged convolution layer design. OaohRepBi-path aggregation network (PAN) was proposed in the feature</t>
  </si>
  <si>
    <t xml:space="preserve">Object detection; open water search and rescue; unmanned aerial vehicle (UAV) aerial imagery; unmanned aerial vehicle (UAV) metadata; water surface flares</t>
  </si>
  <si>
    <t xml:space="preserve">10.1109/TGRS.2024.3395483</t>
  </si>
  <si>
    <t xml:space="preserve">2-s2.0-85192165128</t>
  </si>
  <si>
    <t xml:space="preserve">Toward Low-Altitude Airspace Management and UAV Operations: Requirements, Architecture and Enabling Technologies</t>
  </si>
  <si>
    <t xml:space="preserve">The low-altitude economy (LAE) is rapidly advancing toward intelligence, connectivity, and coordination, bringing new challenges in dynamic airspace management, unmanned aerial vehicle (UAV) operation, and security management. Existing systems remain fragmented and lack effective coordination. To bridge these gaps, we propose UTICN (Ubiquitous and Trusted Intelligent Cellular-native Network) for LAE, a unified cellular-native architecture that integrates multi-domain sensing, high-precision positioning, intelligent aircraft-to-everything communication, dynamic airspace management, and UAV operational services. UTICN introduces key technologies such as integrated sensing and communication (ISAC), passive and active positioning, intelligent machine communication, swarm coordination, and control-data decoupled management frameworks. We demonstrate UTICN’s feasibility through two use cases, i.e., a city-level LAE management platform and a multi-frequency collaborative ISAC system. This work provides a fundamental reference for building a unified operational foundation and airspace management architecture for the LAE. © 2002-2012 IEEE.</t>
  </si>
  <si>
    <t xml:space="preserve">Airspace management; Cellular-native architecture; ISAC; LAE security management; Low-altitude economy</t>
  </si>
  <si>
    <t xml:space="preserve">10.1109/MWC.2025.3630114</t>
  </si>
  <si>
    <t xml:space="preserve">2-s2.0-105025929717</t>
  </si>
  <si>
    <t xml:space="preserve">EDGS-YOLOv8: An Improved YOLOv8 Lightweight UAV Detection Model</t>
  </si>
  <si>
    <t xml:space="preserve">In the rapidly developing drone industry, drone use has led to a series of safety hazards in both civil and military settings, making drone detection an increasingly important research field. It is difficult to overcome this challenge with traditional object detection solutions. Based on YOLOv8, we present a lightweight, real-time, and accurate anti-drone detection model (EDGS-YOLOv8). This is performed by improving the model structure, introducing ghost convolution in the neck to reduce the model size, adding efficient multi-scale attention (EMA), and improving the detection head using DCNv2 (deformable convolutional net v2). The proposed method is evaluated using two UAV image datasets, DUT Anti-UAV and Det-Fly, with a comparison to the YOLOv8 baseline model. The results demonstrate that on the DUT Anti-UAV dataset, EDGS-YOLOv8 achieves an AP value of 0.971, which is 3.1% higher than YOLOv8n’s mAP, while maintaining a model size of only 4.23 MB. The research findings and methods outlined here are crucial for improving target detection accuracy and developing lightweight UAV models. © 2024 by the authors.</t>
  </si>
  <si>
    <t xml:space="preserve">DCNv2; drone detection; EMA; Ghostnet; small target drones; YOLOv8</t>
  </si>
  <si>
    <t xml:space="preserve">10.3390/drones8070337</t>
  </si>
  <si>
    <t xml:space="preserve">2-s2.0-85199651182</t>
  </si>
  <si>
    <t xml:space="preserve">Enhanced Small Drone Detection Using Optimized YOLOv8 With Attention Mechanisms</t>
  </si>
  <si>
    <t xml:space="preserve">The increasing misuse of drones poses significant safety and security risks, including illegal transportation of prohibited goods, interference with manned aircraft, and threats to public safety. This has raised concerns about the increased use of unmanned aerial vehicles (UAVs) due to their small size. Addressing these concerns has sparked significant research into developing effective drone detection systems. Deep learning, especially YOLO, is known as a lightweight model that offers real-time detection capabilities. Attention mechanisms have proven effective in many studies for detecting objects. This research focused on optimizing the YOLOv8n-based model by incorporating the Attention Module into the neck and improving the detection head by adding a tiny detection head, making the model work efficiently in detecting objects of tiny size. To obtain the most effective model, multiple training sets have been experimented with involving different types of attention modules, such as the Convolutional Block Attention Module (CBAM), ResBlock CBAM, Global Attention Mechanism (GAM), and Efficient Channel Attention (ECA). Therefore, based on the results, YOLOv8n + ResCBAM + high-resolution detection head, called P2-YOLOv8n-ResCBAM significantly improves the mean Average Accuracy (mAP) from 90.3% to 92.6%. Although the increased model complexity reduced frames per second (fps) from 263 to 166, the detection speed remains suitable for real-time applications. The proposed model effect</t>
  </si>
  <si>
    <t xml:space="preserve">aerial surveillance; Artificial intelligence; attention mechanism; autonomous systems; convolutional neural networks; deep learning; real-time detection; small drone detection; visual object detection; YOLOv8</t>
  </si>
  <si>
    <t xml:space="preserve">10.1109/ACCESS.2024.3420730</t>
  </si>
  <si>
    <t xml:space="preserve">2-s2.0-85197091557</t>
  </si>
  <si>
    <t xml:space="preserve">Enhancing UAV Aerial Image Analysis: Integrating Advanced SAHI Techniques with Real-Time Detection Models on the VisDrone Dataset</t>
  </si>
  <si>
    <t xml:space="preserve">This research presents a groundbreaking approach in aerial image analysis by integrating the Real-Time Detection and Recognition (RT-DETR-X) model with the Slicing Aided Hyper Inference (SAHI) methodology, utilizing the VisDrone-DET dataset. Aimed at enhancing the efficiency of drone technology across a spectrum of applications, including water conservancy, geological exploration, and military operations, this study focuses on harnessing the real-time, end-to-end object detection capabilities of RT-DETR-X. Characterized by its high-speed and high-accuracy performance, particularly in UAV aerial photography, RT-DETR-X demonstrates a remarkable 54.8% Average Precision (AP) and 74 frames per second (FPS), surpassing similar models in both speed and accuracy. The research thoroughly examines the VisDrone-DET dataset, which encompasses a diverse range of small targets in UAV aerial photography scenes. Covering 10 distinct categories, the dataset provides a robust platform for rigorous model testing. The study emphasizes the utilization of the original image dataset for comprehensive training and evaluation, alongside the practical implementation of the SAHI method for enhanced detection of small-scale objects. Through an in-depth exploration of the model's performance in various scenarios and a detailed analysis of the environmental setup, this paper underscores the impact of integrating RT-DETR with the SAHI approach. The findings reveal significant progress in drone detection te</t>
  </si>
  <si>
    <t xml:space="preserve">Aerial image analysis; drone surveillance; image enhancement; RT-DETR-SAHI; UAV object detection</t>
  </si>
  <si>
    <t xml:space="preserve">10.1109/ACCESS.2024.3363413</t>
  </si>
  <si>
    <t xml:space="preserve">2-s2.0-85184800078</t>
  </si>
  <si>
    <t xml:space="preserve">A Comprehensive Survey on Conflict Detection and Resolution in Unmanned Aircraft System Traffic Management</t>
  </si>
  <si>
    <t xml:space="preserve">The anticipated proliferation of Unmanned Aerial Vehicles (UAVs) in the airspace in the coming years has raised concerns about how to manage their flights to avoid collisions and crashes at various stages of flight. To this end, many Unmanned Aircraft Traffic Management systems (UTM) have been designed. These systems use various methods for managing UAV conflicts. Several surveys have reviewed conflict resolution methods for UAVs. However, to the best of our knowledge, there is no survey specifically addressing conflict detection and resolution methods in UTM, particularly those using AI-based methods. Therefore, this article serves as a comprehensive survey of all UAVs conflicts detection and resolution methods proposed in the literature and their use in the UTM systems. This survey classifies the methods into two categories: classical (non-learning) methods and learning-based methods. Classical methods typically rely on pre-defined algorithms or rules for UAVs to avoid collisions, whereas Artificial Intelligence-based methods, including Machine Learning (ML) and especially Reinforcement Learning (RL), enable UAVs to adapt to their environment, autonomously resolve conflicts, and exhibit intelligent behavior based on their experiences. It also presents their application in the conflict resolution service for UTMs. Additionally, the challenges and issues associated with each type of methods are discussed. This article can serve as a foundational resource for researchers in gu</t>
  </si>
  <si>
    <t xml:space="preserve">classical methods; collision avoidance; conflict management; conflict resolution; DRL; IA; machine learning; MARL; obstacles; RL; UAV; UTM</t>
  </si>
  <si>
    <t xml:space="preserve">10.1109/TITS.2024.3509339</t>
  </si>
  <si>
    <t xml:space="preserve">2-s2.0-85212108675</t>
  </si>
  <si>
    <t xml:space="preserve">The State of Urban Air Mobility Research: An Assessment of Challenges and Opportunities</t>
  </si>
  <si>
    <t xml:space="preserve">Electric vertical take-off and landing aircraft-based urban air mobility (UAM) service in conjunction with personal flying cars are anticipated to offer mobility benefits in terms of reduced travel time, alleviate demand from overburdened ground transportation systems; and bring forth a paradigm shift in travel patterns. Furthermore, uncrewed aerial vehicles or drones have significant potential in package and food delivery and in various disaster responses. In this context, this paper aims to provide a systematic review of current research and studies covering crucial aspects of urban air mobility and flying car ecosystems including public perception, potential market demand, infrastructure requirements, operations and traffic management processes, and policy formulation. Insights offered by the current studies encompassing these areas are summarized and discussed in this paper. © 2025 Institute of Electrical and Electronics Engineers Inc.. All rights reserved.</t>
  </si>
  <si>
    <t xml:space="preserve">Advanced air mobility (AAM); advanced air vehicles (AAV); flying cars; literature review; urban air mobility (UAM)</t>
  </si>
  <si>
    <t xml:space="preserve">10.1109/TITS.2024.3511453</t>
  </si>
  <si>
    <t xml:space="preserve">2-s2.0-85212655214</t>
  </si>
  <si>
    <t xml:space="preserve">A Survey on the Unmanned Aircraft System Traffic Management</t>
  </si>
  <si>
    <t xml:space="preserve">The Unmanned Aircraft System Traffic Management (UTM) system is a set of services offering an automated management of the airspace and thus providing safe and secure Unmanned Aerial Vehicle (UAV) flights in both controlled and uncontrolled airspace. Controlled airspace refers to the portion of the airspace that is under the authority of Air Traffic Control (ATC) and where separation services are offered, while uncontrolled airspace refers to the portion of airspace where aircraft are not regulated by ATC. This article is a comprehensive survey of the existing UTMs development efforts with a focus on the different UTMs architectures, the provided services, the used communication technologies and the decision-making process within UTMs. We firstly review the different UTM architecture and propose a novel UTM taxonomy based on high-level qualitative criteria. Secondly, we detail the services provided by UTMs with an emphasis on the used technologies in the identification, the surveillance, the monitoring, and the deconfliction services. Effective decision-making is crucial, particularly in emergency scenarios such as Air-to-Ground (A2G) communication loss, battery or motor malfunction, or encountering aerial obstacles, among other potential hazards. Despite its significance, the UTM decision-making process is not enough considered in the literature and especially in UTM surveys. We analyze and compare in this article both the centralized and decentralized UTM decision-making. Ce</t>
  </si>
  <si>
    <t xml:space="preserve">Additional Key Words and PhrasesUTM; architecture; communication; decision-making; performance; services; simulators; UAV</t>
  </si>
  <si>
    <t xml:space="preserve">ACM Computing Surveys</t>
  </si>
  <si>
    <t xml:space="preserve">10.1145/3617992</t>
  </si>
  <si>
    <t xml:space="preserve">2-s2.0-85176779724</t>
  </si>
  <si>
    <t xml:space="preserve">BRA-YOLOv10: UAV Small Target Detection Based on YOLOv10</t>
  </si>
  <si>
    <t xml:space="preserve">Unmanned aerial vehicle (UAV) targets are typically small in size, occupy only a limited pixel area, and are often located in complex environments. Existing models, however, tend to overlook smaller targets in complex backgrounds, making it easy to miss important information and resulting in missing targets. This paper proposes an innovative UAV detection method called BRA-YOLOv10. Firstly, Bi-Level Routing Attention (BRA) is used during the feature extraction stage to effectively reduce background interference. By focusing on the target’s key information, the model optimizes overall detection performance. Secondly, based on this improvement, adding a high-resolution small target detection layer (STDL) enhances the model’s detection accuracy by providing more detailed target information. Then, the SimCSPSPPF module is incorporated to further improve the model’s performance, particularly with regard to small targets on complex backgrounds, to effectively retain low-level feature information. Finally, training and testing are conducted on the SIDD dataset, and its generalization performance is shown on a variety of datasets (TIB-Net, Det-Fly, and UAVfly). Experimental results show that BRA-YOLOv10 has superior performance to existing models on 98.9% precision, 92.3% recall, and 96.5% mAP50, respectively, representing an improvement of 2.5%, 2.9%, and 1.7% over YOLOv10. For targets with target sizes between (Formula presented.) and (Formula presented.), the detection rate reache</t>
  </si>
  <si>
    <t xml:space="preserve">SimCSPSPPF; small target detection; UAV; YOLOv10</t>
  </si>
  <si>
    <t xml:space="preserve">10.3390/drones9030159</t>
  </si>
  <si>
    <t xml:space="preserve">2-s2.0-105001099815</t>
  </si>
  <si>
    <t xml:space="preserve">Optimal Transport Framework for ISAC in Low-Altitude Networks: Joint Resource Allocation for Cooperative Communication and Non-Cooperative Localization</t>
  </si>
  <si>
    <t xml:space="preserve">The proliferation of unmanned aerial vehicles (UAVs) in low-altitude airspace necessitates sophisticated resource management supporting both cooperative communications and unauthorized intrusion detection. This paper investigates joint optimization of cell association and power allocation in integrated sensing and communication (ISAC)-enabled low-altitude networks. We propose a novel dual-function framework where ground base stations simultaneously provide communication services to authorized UAVs and localize non-cooperative UAVs for collision avoidance. We establish a channel model capturing the relationship between communication rate and sensing accuracy, formulating an optimization problem that maximizes the weighted sum of system average sum rate and localization quality of service (QoS). The problem jointly optimizes cell association, communication power allocation, and sensing power allocation under UAV localization QoS and cooperative sum rate constraints. To solve the resulting mixed-integer non-convex problem, we propose a joint optimization algorithm based on optimal transport theory (J2OT) that directly handles discrete variables without relaxation, avoiding accuracy losses of conventional approximation methods. J2OT decomposes the problem using optimal transport-based cell association optimization (OTC) and power allocation optimization (OTP). Simulation results demonstrate J2OT’s superiority, achieving 1.5 bits/s/Hz improvement in system objective and 7.5% reduc</t>
  </si>
  <si>
    <t xml:space="preserve">cooperative communication; Integrated sensing and communication; low-altitude networks; non-cooperative localization; optimal transport theory</t>
  </si>
  <si>
    <t xml:space="preserve">10.1109/TCOMM.2025.3642742</t>
  </si>
  <si>
    <t xml:space="preserve">2-s2.0-105024792164</t>
  </si>
  <si>
    <t xml:space="preserve">Large Language Model-Empowered Energy-Efficient Multi-UAV-Assisted MEC Heterogeneous Networks</t>
  </si>
  <si>
    <t xml:space="preserve">The artificial general intelligence (AGI) based on large language models (LLMs) and deep reinforcement learning (DRL) possesses cross-domain empowerment capabilities, offering task scheduling and resource allocation in mobile edge computing (MEC), presenting significant potential. This paper proposes an LLM-driven DRL framework named L2D2, which autonomously generates reward functions for DRL through LLMs and enables dynamic model optimization through a self-refinement loop mechanism. The reward function within the L2D2 framework can adjust the strategy based on environmental feedback, eliminating the need for manual redesign in complex low-altitude scenarios and reducing debugging costs. To validate the performance of L2D2, the framework is utilized in a multi-unmanned aerial vehicle (UAV)-assisted MEC heterogeneous network operating in the low-altitude airspace to enhance system energy efficiency. A novel dueling double deep Q-network (D3QN) is utilized as the DRL method within L2D2, named the L2D2-D3QN algorithm. To evaluate its effectiveness in enhancing system energy efficiency, a comprehensive comparison is conducted across various LLMs, including Deepseek-R1, GPT-4o, Llama-3.1-70B, Claude-3.7-Sonnet, and Qwen-2.5. The simulation results demonstrate that the L2D2-D3QN algorithm achieves up to 56% higher energy efficiency compared to DRL with human-designed reward function. Furthermore, the influence of LLM tokenization strategies on the performance of LLM-driven DRL is </t>
  </si>
  <si>
    <t xml:space="preserve">Artificial general intelligence; deep reinforcement learning; large language model; mobile edge computing; unmanned aerial vehicle</t>
  </si>
  <si>
    <t xml:space="preserve">10.1109/TCCN.2025.3645407</t>
  </si>
  <si>
    <t xml:space="preserve">2-s2.0-105025456015</t>
  </si>
  <si>
    <t xml:space="preserve">Digital Low-Altitude Airspace Unmanned Aerial Vehicle Path Planning and Operational Capacity Assessment in Urban Risk Environments</t>
  </si>
  <si>
    <t xml:space="preserve">This paper proposes a digital low-altitude airspace unmanned aerial vehicle (UAV) path planning method tailored for urban risk environments and conducts an operational capacity assessment of the airspace. The study employs a vertical–horizontal grid partitioning technique to achieve airspace grid-based modeling, classifying and configuring “management-operation” grids. By integrating multi-source heterogeneous data, including building structures, population density, and sheltering factor, a grid-based discrete risk quantification model is established to evaluate comprehensive mid-air collision risk, ground impact risk, third-party risk, and UAV turning risk. A path planning method considering the optimization of the turning points of parallelograms was proposed, and the Parallel-A* algorithm was adopted for its solution. Finally, an airspace operational capacity assessment model and a conflict simulation model for urban risk environments are developed to quantify the operational capacity of urban low-altitude airspace. Using Liuhe District in Nanjing as the experimental area, the study reveals that the environmental airspace risk decreases significantly with increasing flight altitude and eventually stabilizes. In the implementation of path planning, compared with the A* and Weight-A* algorithms, the Parallel-A* algorithm demonstrates clear advantages in terms of lower average comprehensive risk and fewer turning points. In the operational capacity assessment experiments, the</t>
  </si>
  <si>
    <t xml:space="preserve">airspace operational capacity; grid; path planning; risk assessment; unmanned aerial vehicle</t>
  </si>
  <si>
    <t xml:space="preserve">10.3390/drones9050320</t>
  </si>
  <si>
    <t xml:space="preserve">2-s2.0-105006825061</t>
  </si>
  <si>
    <t xml:space="preserve">Air Corridor Planning for Urban Drone Delivery: Complexity Analysis and Comparison via Multi-Commodity Network Flow and Graph Search</t>
  </si>
  <si>
    <t xml:space="preserve">Urban drone delivery, a rapidly evolving sector, holds the potential to enhance accessibility, address last-mile delivery issues, and alleviate ground traffic congestion in cities. Effective Unmanned Aircraft System Traffic Management (UTM) is essential to scale drone delivery. A critical aspect of UTM involves planning a city-wide network with spatially-separated air corridors (air routes). Most existing works have focused on routing problems or air traffic management. Compared to these problems, the air corridor planning problem requires much higher spatial and temporal resolutions and presents computational challenges due to the scale, complexity, and density of urban airspace, along with the coupling issues of multi-path planning. Therefore, we conducted this research to understand the complexity and computational resources required to optimally solve the air corridor planning problem. In this paper, we use a minimum-cost Multi-Commodity Network Flow (MCNF) model, a mathematical model, to model the problem and demonstrate the complexity of air corridor planning through the complexity of MCNF. We then apply Gurobi's and GLPK's integer programming (IP) solvers to find optimal solutions. Additionally, we present two existing multi-path graph search algorithms, the Sequential Route Network Planning (SRP) algorithm and the Distributed Route Network Planning (DRP) algorithm, to address this corridor planning problem. Numerical experiments conducted at various scales and setting</t>
  </si>
  <si>
    <t xml:space="preserve">Drone delivery; Graph search; Multi-path planning; Network flow theory; Unmanned aircraft system traffic management (UTM)</t>
  </si>
  <si>
    <t xml:space="preserve">Transportation Research Part E: Logistics and Transportation Review</t>
  </si>
  <si>
    <t xml:space="preserve">10.1016/j.tre.2024.103859</t>
  </si>
  <si>
    <t xml:space="preserve">2-s2.0-85210128754</t>
  </si>
  <si>
    <t xml:space="preserve">AIS data-driven ship trajectory prediction modelling and analysis based on machine learning and deep learning methods</t>
  </si>
  <si>
    <t xml:space="preserve">Maritime transport faces new safety challenges in an increasingly complex traffic environment caused by large-scale and high-speed ships, particularly with the introduction of intelligent and autonomous ships. It is evident that Automatic Identification System (AIS) data-driven ship trajectory prediction can effectively aid in identifying abnormal ship behaviours and reducing maritime risks such as collision, stranding, and contact. Furthermore, trajectory prediction is widely recognised as one of the critical technologies for realising safe autonomous navigation. The prediction methods and their performance are the key factors for future safe and automatic shipping. Currently, ship trajectory prediction lacks the real performance measurement and analysis of different algorithms, including classical machine learning and emerging deep learning methods. This paper aims to systematically analyse the performance of ship trajectory prediction methods and pioneer experimental tests to reveal their advantages and disadvantages as well as fitness in different scenarios involving complicated systems. To do so, five machine learning methods (i.e., Kalman Filter (KF), Support Vector Progression (SVR), Back Propagation network (BP), Gaussian Process Regression (GPR), and Random Forest (RF)) and seven deep learning methods (i.e., Recurrent Neural Network (RNN), Long Short-Term Memory (LSTM), Gate Recurrent Unit (GRU), Bi-directional Long Short-Term Memory (Bi-LSTM), Sequence to Sequence (</t>
  </si>
  <si>
    <t xml:space="preserve">AIS data; Deep learning; Machine learning; Maritime safety; Trajectory prediction</t>
  </si>
  <si>
    <t xml:space="preserve">10.1016/j.tre.2023.103152</t>
  </si>
  <si>
    <t xml:space="preserve">2-s2.0-85161305189</t>
  </si>
  <si>
    <t xml:space="preserve">YOLOv7-sea: Object Detection of Maritime UAV Images based on Improved YOLOv7</t>
  </si>
  <si>
    <t xml:space="preserve">Object detection algorithms play an important role in maritime search and rescue missions, where they are designed to detect people, boats and other objects in open water. However, the SeaDronesee dataset has the characteristics of small targets and large sea surface interference, which brings great challenges to general object detectors. To address these issues, we propose an improved detector YOLOv7-sea. Based on YOLOv7[2], we add a prediction head to detect tiny-scale people or objects. Besides, we integrate Simple, Parameter-Free Attention Module (SimAM) to find attention regions in the scene. To achieve further improvements to our proposed YOLOv7-sea, we provide some useful strategies such as data augmentation, Test time augmentation (TTA), and bundled box fusion (WBF). On the ODv2 challenge dataset, the AP result of YOLOv7-sea is 59.00%, which is about 7% higher than the baseline model (YOLOv7).  © 2023 IEEE.</t>
  </si>
  <si>
    <t xml:space="preserve">Proceedings - 2023 IEEE/CVF Winter Conference on Applications of Computer Vision Workshops, WACVW 2023</t>
  </si>
  <si>
    <t xml:space="preserve">10.1109/WACVW58289.2023.00029</t>
  </si>
  <si>
    <t xml:space="preserve">2-s2.0-85143685956</t>
  </si>
  <si>
    <t xml:space="preserve">A path planning strategy unified with a COLREGS collision avoidance function based on deep reinforcement learning and artificial potential field</t>
  </si>
  <si>
    <t xml:space="preserve">Improving the autopilot capability of ships is particularly important to ensure the safety of maritime navigation.The unmanned surface vessel (USV) with autopilot capability is a development trend of the ship of the future. The objective of this paper is to investigate the path planning problem of USVs in uncertain environments, and a path planning strategy unified with a collision avoidance function based on deep reinforcement learning (DRL) is proposed. A Deep Q-learning network (DQN) is used to continuously interact with the visually simulated environment to obtain experience data, so that the agent learns the best action strategies in the visual simulated environment. To solve the collision avoidance problems that may occur during USV navigation, the location of the obstacle ship is divided into four collision avoidance zones according to the International Regulations for Preventing Collisions at Sea (COLREGS). To obtain an improved DRL algorithm, the artificial potential field (APF) algorithm is utilized to improve the action space and reward function of the DQN algorithm. A simulation experiments is utilized to test the effects of our method in various situations. It is also shown that the enhanced DRL can effectively realize autonomous collision avoidance path planning. © 2021</t>
  </si>
  <si>
    <t xml:space="preserve">Artificial potential field; COLREGS collision avoidance; Deep reinforcement learning; Path planning</t>
  </si>
  <si>
    <t xml:space="preserve">Applied Ocean Research</t>
  </si>
  <si>
    <t xml:space="preserve">10.1016/j.apor.2021.102759</t>
  </si>
  <si>
    <t xml:space="preserve">2-s2.0-85111029099</t>
  </si>
  <si>
    <t xml:space="preserve">Risk assessment of the operations of maritime autonomous surface ships</t>
  </si>
  <si>
    <t xml:space="preserve">Maritime Autonomous Surface Ships (MASS) are attracting increasing attention in the maritime industry. Despite the expected benefits in reducing human error and significantly increasing the overall safety level, the development of autonomous ships would undoubtedly introduce new risks. The overall goal of this work is to develop an approach to evaluate the risk level of major hazards associated with MASS. To that extent, a Failure Modes and Effects Analysis (FMEA) method is used in conjunction with Evidential Reasoning (ER) and Rule-based Bayesian Network (RBN) to quantify the risk levels of the identified hazards. The results show that ‘interaction with manned vessels and detection of objects’ contributes the most to the overall risk of MASS operations, followed by ‘cyber-attacks’, ‘human error’ and ‘equipment failure’. The findings provide useful insights on the major hazards and can aid the overall safety assurance of MASS. © 2020</t>
  </si>
  <si>
    <t xml:space="preserve">Bayesian Networks (BN); Failure Modes and Effects Analysis (FMEA); Maritime autonomous surface ships; Maritime risk; Maritime safety</t>
  </si>
  <si>
    <t xml:space="preserve">Reliability Engineering and System Safety</t>
  </si>
  <si>
    <t xml:space="preserve">10.1016/j.ress.2020.107324</t>
  </si>
  <si>
    <t xml:space="preserve">2-s2.0-85097182028</t>
  </si>
  <si>
    <t xml:space="preserve">Cooperative USV–UAV marine search and rescue with visual navigation and reinforcement learning-based control</t>
  </si>
  <si>
    <t xml:space="preserve">This paper investigates visual navigation and control of a cooperative unmanned surface vehicle (USV)-unmanned aerial vehicle (UAV) system for marine search and rescue. First, a deep learning-based visual detection architecture is developed to extract positional information from the images taken by the UAV. With specially designed convolutional layers and spatial softmax layers, the visual positioning accuracy and computational efficiency are improved. Next, a reinforcement learning-based USV control strategy is proposed, which could learn a motion control policy with an enhanced ability to reject wave disturbances. The simulation experiment results show that the proposed visual navigation architecture can provide stable and accurate position and heading angle estimation in different weather and lighting conditions. The trained control policy also demonstrates satisfactory USV control ability under wave disturbances. © 2023</t>
  </si>
  <si>
    <t xml:space="preserve">Convolutional neural network; Marine search and rescue; Reinforcement learning; Unmanned aerial vehicle; Unmanned surface vehicle</t>
  </si>
  <si>
    <t xml:space="preserve">ISA Transactions</t>
  </si>
  <si>
    <t xml:space="preserve">10.1016/j.isatra.2023.01.007</t>
  </si>
  <si>
    <t xml:space="preserve">2-s2.0-85148335929</t>
  </si>
  <si>
    <t xml:space="preserve">COLREGS-Constrained Real-Time Path Planning for Autonomous Ships Using Modified Artificial Potential Fields</t>
  </si>
  <si>
    <t xml:space="preserve">This paper presents a real-Time and deterministic path planning method for autonomous ships or Unmanned Surface Vehicles (USV) in complex and dynamic navigation environments. A modified Artificial Potential Field (APF), which contains a new modified repulsion potential field function and the corresponding virtual forces, is developed to address the issue of Collision Avoidance (CA) with dynamic targets and static obstacles, including emergency situations. Appropriate functional and safety requirements are added in the corresponding virtual forces to ensure International Regulations for Preventing Collisions at Sea (COLREGS)-constrained behaviour for the own ship's CA actions. Simulations show that the method is fast, effective and deterministic for path planning in complex situations with multiple moving target ships and stationary obstacles and can account for the unpredictable strategies of other ships. The authors believe that automatic navigation systems operated without human interaction could benefit from the development of path planning algorithms. © The Royal Institute of Navigation 2018Â.</t>
  </si>
  <si>
    <t xml:space="preserve">Autonomous; COLREGs; Route Planning; Ship Collision</t>
  </si>
  <si>
    <t xml:space="preserve">Journal of Navigation</t>
  </si>
  <si>
    <t xml:space="preserve">10.1017/S0373463318000796</t>
  </si>
  <si>
    <t xml:space="preserve">2-s2.0-85056727431</t>
  </si>
  <si>
    <t xml:space="preserve">Maritime Search and Rescue Based on Group Mobile Computing for Unmanned Aerial Vehicles and Unmanned Surface Vehicles</t>
  </si>
  <si>
    <t xml:space="preserve">Accidents often occur at sea, so effective maritime search and rescue is essential. In the current process of sea search and rescue, the operation efficiency of large search and rescue equipment is low and it cannot provide stable communication link. In this article, unmanned aerial vehicles (UAVs) and unmanned surface vehicles (USVs) are used to form a cognitive mobile computing network for co-operative search and rescue, and reinforcement learning (RL) is used to plan search path and improve communication throughput. Based on the scene of marine search and rescue, the grid method is used to model the search and rescue area. Meanwhile, an intragroup communication architecture based on UAVs and USVs is designed to assist intragroup communication by recognizing the link channel state between UAVs. Search and rescue path planning is carried out through the strategy iteration of Markov decision process (MDP). Furthermore, distributed RL is used to recognize the channel state and perform mobile computing, so as to optimize the data throughput in the communication group. The simulation results show that we have successfully completed the path planning task. Compared with conventional methods, RL based on different reward functions has better throughput performance under the same number of UAVs auxiliary communications. © 2005-2012 IEEE.</t>
  </si>
  <si>
    <t xml:space="preserve">Data throughput; distributed reinforcement learning; markov decision process; path planning</t>
  </si>
  <si>
    <t xml:space="preserve">10.1109/TII.2020.2974047</t>
  </si>
  <si>
    <t xml:space="preserve">2-s2.0-85092091252</t>
  </si>
  <si>
    <t xml:space="preserve">Collision avoidance for an unmanned surface vehicle using deep reinforcement learning</t>
  </si>
  <si>
    <t xml:space="preserve">In this paper, a deep reinforcement learning (DRL)-based collision avoidance method is proposed for an unmanned surface vehicle (USV). This approach is applicable to the decision-making stage of collision avoidance, which determines whether the avoidance is necessary, and if so, determines the direction of the avoidance maneuver. To utilize the visual recognition capability of deep neural networks as a tool for analyzing the complex and ambiguous situations that are typically encountered, a grid map representation of the ship encounter situation was suggested. For the composition of the DRL network, we proposed a neural network architecture and semi-Markov decision process model that was specially designed for the USV collision avoidance problem. The proposed DRL network was trained through repeated simulations of collision avoidance. After the training process, the DRL network was implemented in collision avoidance experiments and simulations to evaluate its situation recognition and collision avoidance capability. © 2020 Elsevier Ltd</t>
  </si>
  <si>
    <t xml:space="preserve">Artificial intelligence; Collision avoidance; COLREGs; Deep reinforcement learning; Unmanned surface vehicle</t>
  </si>
  <si>
    <t xml:space="preserve">Ocean Engineering</t>
  </si>
  <si>
    <t xml:space="preserve">10.1016/j.oceaneng.2020.107001</t>
  </si>
  <si>
    <t xml:space="preserve">2-s2.0-85078836133</t>
  </si>
  <si>
    <t xml:space="preserve">Autonomous Collision Avoidance of Unmanned Surface Vehicles Based on Improved A-Star and Dynamic Window Approach Algorithms</t>
  </si>
  <si>
    <t xml:space="preserve">Unmanned surface vessel (USV) autonomous navigation on the open sea involving real-time path planning and collision avoidance is still one of the essential problems to ensure the USV's safe and efficient navigation. Especially in a congested and uncertain marine traffic environment, not only will static obstacles be taken into account but other target vessels in motion should also be considered. Also, the general requirement of the Convention on the International Regulations for Preventing Collisions at Sea (COLREGs) should be satisfied. Hence, an improved A-star algorithm for USV path planning and improved dynamic window approach (IDWA) for collision avoidance were proposed. First, considering the requirement of COLREGs, the velocity search space was filtered again, and the quantity of USV trajectories was reduced. Then, the improved A-star algorithm was introduced to let the USV avoid static obstacles and reach its destination without trapping in local optimization. Moreover the Deep Q-network method was utilized to train weight coefficients of the IDWA objective function. Thereby, the improved algorithm-generated path during the process of collision avoidance was more reasonable and safer. To verify feasibility of the proposed path-planning algorithm, a comparison experiment with the traditional DWA method was carried out. The results showed that whether it was for a single USV to a single target or for multiple USVs to multiple targets, path planning, the proposed method,</t>
  </si>
  <si>
    <t xml:space="preserve">IEEE Intelligent Transportation Systems Magazine</t>
  </si>
  <si>
    <t xml:space="preserve">10.1109/MITS.2022.3229109</t>
  </si>
  <si>
    <t xml:space="preserve">2-s2.0-85147313499</t>
  </si>
  <si>
    <t xml:space="preserve">Coverage path planning for multiple unmanned aerial vehicles in maritime search and rescue operations</t>
  </si>
  <si>
    <t xml:space="preserve">The number of casualties in the maritime sector is increasing consistently. To reduce the scope of search area extensions in the event of a maritime accident, maritime authorities and operation centers are currently trying to develop a quick search for survivors at sea using unmanned aerial vehicles (UAVs) in maritime search and rescue (SAR) operations. Here, we propose a two-phase method for solving the coverage path planning (CPP) problem of multiple-UAV areas in maritime SAR. In phase 1, we propose a grid-based area decomposition method that minimizes the decomposed search area to transform the search area into a graph made up of vertices and edges. In phase 2, we formulate a mixed-integer linear programming (MILP) model to derive an optimal coverage path that minimizes the completion time. To solve the model for large-scale instances, a randomized search heuristic (RSH) algorithm is developed. We conducted extensive numerical experiments to validate the performance of the algorithm. Experimental results show that the RSH yields a better solution with an approximately 0.7% optimality gap within a much shorter computation time than that of a commercial solver. In addition, our grid-based CPP algorithm outperforms those used in previous research with respect to the solution quality. Furthermore, we showed the results of real flight experiments in the marine field using the proposed algorithm. © 2021</t>
  </si>
  <si>
    <t xml:space="preserve">Coverage path planning (CPP); Maritime; Search and rescue (SAR); Unmanned Aerial Vehicle (UAV)</t>
  </si>
  <si>
    <t xml:space="preserve">Computers and Industrial Engineering</t>
  </si>
  <si>
    <t xml:space="preserve">10.1016/j.cie.2021.107612</t>
  </si>
  <si>
    <t xml:space="preserve">2-s2.0-85113626022</t>
  </si>
  <si>
    <t xml:space="preserve">A ship trajectory prediction method based on GAT and LSTM</t>
  </si>
  <si>
    <t xml:space="preserve">Ship trajectory prediction plays an important role in ship route planning and collision avoidance in the development of autonomous ships. Previous models related to ship trajectory prediction have mainly focused on exploiting spatial and temporal correlation, but the accuracy and reliability of their predictions may be limited. To address this issue, this study introduces a graph attention network (GAT) and long short-term memory (LSTM) to predict ship trajectories. First, a graph network of ship trajectories is constructed based on the dependency relationship between ship trajectory data. GAT-LSTM uses GAT to extract the spatial features of ship trajectory data, while LSTM is introduced to learn the temporal features of ship trajectory data; finally, the prediction results are obtained. In this study, three real ship trajectory datasets from the AIS are used to verify the effectiveness of the proposed model and compare it with other prediction models. The experiments show that GAT-LSTM always obtains better values of the evaluation metrics than other prediction models. The model proposed in this study has high robustness in ship trajectory prediction, and the accurate prediction of ship trajectories has positive significance for maritime traffic control and safe navigation of ships. © 2023 Elsevier Ltd</t>
  </si>
  <si>
    <t xml:space="preserve">GAT-LSTM method; Maritime navigation safety; Ship trajectory prediction; Spatiotemporal correlation</t>
  </si>
  <si>
    <t xml:space="preserve">10.1016/j.oceaneng.2023.116159</t>
  </si>
  <si>
    <t xml:space="preserve">2-s2.0-85176449951</t>
  </si>
  <si>
    <t xml:space="preserve">Deep reinforcement learning-based collision avoidance for an autonomous ship</t>
  </si>
  <si>
    <t xml:space="preserve">Social interest in autonomous navigation systems for autonomous ships is also increasing. For a robust autonomous navigation system, the location, speed, and direction of the ship and other ships must be identified in real time, and collision avoidance should be performed at an appropriate time by considering the collision risk. In this study, we proposed a collision avoidance method that quantitatively assesses the collision risk and then generates an avoidance path. First, to assess the collision risk, a collision risk assessment method based on the ship domain and the closest point of approach (CPA) was proposed. The ship domain is created with an asymmetric shape considering manoeuvring performance and the COLREGs. The CPA is used to assess quantitative collision risk value. Subsequently, a path generation algorithm based on deep reinforcement learning (DRL) was proposed to determine the avoidance time and to generate an avoidance path complying the COLREGs for the most dangerous ship in terms of collision risk. The information of own ship and target ship such as location, speed, heading, collision risk is used as the input state, and the rudder angle of own ship is set as the output action of the DRL. The cost function related to the path following and the collision avoidance is defined as the reward of the DRL-based collision avoidance method. Additionally, the DRL modes are defined to navigate the flexible avoidance path by changing the ratio between the path following</t>
  </si>
  <si>
    <t xml:space="preserve">Autonomous ship; Collision avoidance; Collision risk; COLREGs; Deep reinforcement learning</t>
  </si>
  <si>
    <t xml:space="preserve">10.1016/j.oceaneng.2021.109216</t>
  </si>
  <si>
    <t xml:space="preserve">2-s2.0-85107300345</t>
  </si>
  <si>
    <t xml:space="preserve">Local Extinction of bull kelp (Durvillaea spp.) due to a marine heatwave</t>
  </si>
  <si>
    <t xml:space="preserve">                             Detailed research has documented gradual changes to biological communities attributed to increases in global average temperatures. However, localized and abrupt temperature anomalies associated with heatwaves may cause more rapid biological changes. We analyzed temperature data from the South Island of New Zealand and investigated whether the hot summer of 2017/18 affected species of bull kelp, Durvillaea antarctica, D. poha, and D. willana. Durvillaea spp. are large iconic seaweeds that inhabit the low intertidal zone of exposed coastlines, where they underpin biodiversity and ecosystem functioning. Sea surface temperatures (SST) during the summer of 2017/18 included the strongest marine heatwaves recorded in 38 years of existing oceanic satellite data for this region. Air temperatures were also high, and, coupled with small wave heights, resulted in strong desiccation stress during daytime low tides. Before-After analysis of drone images of four reef platforms (42, 42, 44, and 45°S) was used to evaluate changes to bull kelp over the hot summer. Bull kelp loss varied among species and reefs, with the greatest (100%) loss of D. poha at Pile Bay in Lyttelton Harbor (44°S). In Pile Bay, SST exceeded 23°C and air temperatures exceeded 30°C, while Durvillaea was exposed for up to 3 h per day during low tide. Follow-up surveys showed that all bull kelps were eliminated from Pile Bay, and from all reefs within and immediately outside of Lyttelton Harbor</t>
  </si>
  <si>
    <t xml:space="preserve">Canopy forming seaweed; Endemic species; Extinction; Foundation species; Marine heatwave; Temperature anomaly</t>
  </si>
  <si>
    <t xml:space="preserve">Frontiers in Marine Science</t>
  </si>
  <si>
    <t xml:space="preserve">10.3389/fmars.2019.00084</t>
  </si>
  <si>
    <t xml:space="preserve">2-s2.0-85063427465</t>
  </si>
  <si>
    <t xml:space="preserve">A novel model predictive artificial potential field based ship motion planning method considering COLREGs for complex encounter scenarios</t>
  </si>
  <si>
    <t xml:space="preserve">Ship motion planning is a core issue of autonomous navigation for maritime autonomous surface ships (MASS). This paper proposes a novel model predictive artificial potential field (MPAPF) motion planning method for complex encounter scenarios considering collision avoidance rules. A new ship domain is established, in which a closed interval potential field function is designed to represent the inviolable properties of the ship domain. A Nomoto model with a predefined speed during motion planning is adopted to generate followable paths conforming to the ship kinematics. To solve the local optima problem of traditional artificial potential field (APF) method and guarantee the collision avoidance safety in complex encounter scenarios, a motion planning method based on model predictive strategy and artificial potential field, i.e., MPAPF, is proposed. In this method, the ship motion planning problem is transformed to a non-linear optimization problem with multiple constraints including maneuverability, navigation rules, navigable waterway, etc. Simulation results from 4 case studies show that the proposed MPAPF algorithm can solve the problems above and generate feasible motion paths to avoid ship collision in complex encounter scenarios compared to variants of APF, A-star and rapidly-exploring random trees (RRT). © 2022 ISA</t>
  </si>
  <si>
    <t xml:space="preserve">Anti-collision; Artificial potential field; COLREGs; Model predictive strategy; Motion planning; Ship domain</t>
  </si>
  <si>
    <t xml:space="preserve">10.1016/j.isatra.2022.09.007</t>
  </si>
  <si>
    <t xml:space="preserve">2-s2.0-85138503086</t>
  </si>
  <si>
    <t xml:space="preserve">Ship collision avoidance and COLREGS compliance using simulation-based control behavior selection with predictive hazard assessment</t>
  </si>
  <si>
    <t xml:space="preserve">This paper describes a concept for a collision avoidance system for ships, which is based on model predictive control. A finite set of alternative control behaviors are generated by varying two parameters: offsets to the guidance course angle commanded to the autopilot and changes to the propulsion command ranging from nominal speed to full reverse. Using simulated predictions of the trajectories of the obstacles and ship, compliance with the Convention on the International Regulations for Preventing Collisions at Sea and collision hazards associated with each of the alternative control behaviors are evaluated on a finite prediction horizon, and the optimal control behavior is selected. Robustness to sensing error, predicted obstacle behavior, and environmental conditions can be ensured by evaluating multiple scenarios for each control behavior. The method is conceptually and computationally simple and yet quite versatile as it can account for the dynamics of the ship, the dynamics of the steering and propulsion system, forces due to wind and ocean current, and any number of obstacles. Simulations show that the method is effective and can manage complex scenarios with multiple dynamic obstacles and uncertainty associated with sensors and predictions. © 2000-2011 IEEE.</t>
  </si>
  <si>
    <t xml:space="preserve">Autonomous ships; collision avoidance; control systems; hazard; safety; trajectory optimization</t>
  </si>
  <si>
    <t xml:space="preserve">10.1109/TITS.2016.2551780</t>
  </si>
  <si>
    <t xml:space="preserve">2-s2.0-84966440055</t>
  </si>
  <si>
    <t xml:space="preserve">Proximal policy optimization with reciprocal velocity obstacle based collision avoidance path planning for multi-unmanned surface vehicles</t>
  </si>
  <si>
    <t xml:space="preserve">The challenge of solving the collision avoidance path planning problem lies in adaptively selecting the optimal agent velocity in complex scenarios full of reciprocal obstacles. To achieve autonomous collision avoidance for unmanned surface vehicles (USVs), a distributed multi-USVs navigation method based on deep reinforcement learning (DRL) is proposed, which combines the concept of reciprocal velocity obstacle (RVO) with a DRL scheme to solve the collision avoidance path planning problem with limited information. The collision avoidance behavior in USV navigation is based on the International Regulations for Preventing Collisions at Sea, and to obtain an improved proximal policy optimization (PPO) algorithm, the RVO algorithm is used to improve the action space and reward function of the PPO algorithm. Gate Recurrent Unit-based neural network is used to map the states of different number of surrounding obstacles directly into actions. The effectiveness of the method in various situations was verified through simulation experiments. It is also shown that the algorithm can accurately determine collision situations, give reasonable collision avoidance behaviors, and achieve effective collision avoidance in complex environments with dynamic and static obstacles. The research can provide a theoretical basis and methodological reference for USV autonomous navigation. © 2023 Elsevier Ltd</t>
  </si>
  <si>
    <t xml:space="preserve">COLREGS collision avoidance; Multi-USVs; Path planning; Proximal policy optimization; Reciprocal velocity obstacle</t>
  </si>
  <si>
    <t xml:space="preserve">10.1016/j.oceaneng.2023.114005</t>
  </si>
  <si>
    <t xml:space="preserve">2-s2.0-85148668587</t>
  </si>
  <si>
    <t xml:space="preserve">Incorporation of AIS data-based machine learning into unsupervised route planning for maritime autonomous surface ships</t>
  </si>
  <si>
    <t xml:space="preserve">Maritime Autonomous Surface Ships (MASS) are deemed as the future of maritime transport. Although showing attractiveness in terms of the solutions to emerging challenges such as carbon emission and insufficient labor caused by black swan events such as COVID-19, the applications of MASS have revealed problems in practice, among which MASS navigation safety presents a prioritized concern. To ensure safety, rational route planning for MASS is evident as the most critical step to avoiding any relevant collision accidents. This paper aims to develop a holistic framework for the unsupervised route planning of MASS using machine learning methods based on Automatic Identification System (AIS) data, including the coherent steps of new feature measurement, pattern extraction, and route planning algorithms. Historical AIS data from manned ships are trained to extract and generate movement patterns. The route planning for MASS is derived from the movement patterns according to a dynamic optimization method and a feature extraction algorithm. Numerical experiments are constructed on real AIS data to demonstrate the effectiveness of the proposed method in solving the route planning for different types of MASS. © 2023 The Authors</t>
  </si>
  <si>
    <t xml:space="preserve">Feature measurement; Maritime Autonomous Surface Ships (MASS); Maritime safety; Pattern extraction; Route planning</t>
  </si>
  <si>
    <t xml:space="preserve">10.1016/j.tre.2023.103171</t>
  </si>
  <si>
    <t xml:space="preserve">2-s2.0-85161273494</t>
  </si>
  <si>
    <t xml:space="preserve">COLREGs-compliant multiship collision avoidance based on deep reinforcement learning</t>
  </si>
  <si>
    <t xml:space="preserve">Developing a high-level autonomous collision avoidance system for ships that can operate in an unstructured and unpredictable environment is challenging. Particularly in congested sea areas, each ship should make decisions continuously to avoid collisions with other ships in a busy and complex waterway. Furthermore, recent reports indicate that a large number of marine collision accidents are caused by or are related to human decision failures concerning a lack of situational awareness and failure to comply with the Convention on the International Regulations for Preventing Collisions at Sea (COLREGs). In this study, we propose an efficient method to overcome multiship collision avoidance problems based on the Deep Reinforcement Learning (DRL) algorithm by expanding our previous study (Zhao et al., 2019). The proposed method directly maps the states of encountered ships to an ownship's steering commands in terms of rudder angle using the Deep Neural Network (DNN). This DNN is trained over multiple ships in rich encountering situations using the policy-gradient based DRL algorithm. To address multiple encountered ships, we classify them into four regions based on COLREGs, and consider only the nearest ship in each region. We validate the proposed collision avoidance method in a variety of simulated scenarios with thorough performance evaluations, and demonstrate that the final DRL controller can obtain time efficient and collision-free paths for multiple ships. Simulation resu</t>
  </si>
  <si>
    <t xml:space="preserve">Autonomous ship; COLREGs; Deep neural network; Deep reinforcement learning; Multiship collision avoidance</t>
  </si>
  <si>
    <t xml:space="preserve">10.1016/j.oceaneng.2019.106436</t>
  </si>
  <si>
    <t xml:space="preserve">2-s2.0-85072763434</t>
  </si>
  <si>
    <t xml:space="preserve">Deep learning for autonomous ship-oriented small ship detection</t>
  </si>
  <si>
    <t xml:space="preserve">Small ship detection is an important topic in autonomous ship technology and plays an essential role in shipping safety. Since traditional object detection techniques based on the shipborne radar are not qualified for the task of near and small ship detection, deep learning-based image recognition methods based on video surveillance systems can be naturally utilized on autonomous vessels to effectively detect near and small ships. However, a limited number of real-world samples of small ships may fail to train a learning method that can accurately detect small ships in most cases. To address this, a novel hybrid deep learning method that combines a modified Generative Adversarial Network (GAN) and a Convolutional Neural Network (CNN)-based detection approach is proposed for small ship detection. Specifically, a Gaussian Mixture Wasserstein GAN with Gradient Penalty is utilized to first directly generate sufficient informative artificial samples of small ships based on the zero-sum game between a generator and a discriminator, and then an improved CNN-based real-time detection method is trained on both the original and the generated data for accurate small ship detection. Experimental results show that the proposed deep learning method (a) is competent to generate sufficient informative small ship samples and (b) can obtain significantly improved and robust results of small ship detection. The results also indicate that the proposed method can be effectively applied to ensurin</t>
  </si>
  <si>
    <t xml:space="preserve">Autonomous ship; Convolutional neural network; Ship safety; Small ship detection; Wasserstein generative adversarial network</t>
  </si>
  <si>
    <t xml:space="preserve">Safety Science</t>
  </si>
  <si>
    <t xml:space="preserve">10.1016/j.ssci.2020.104812</t>
  </si>
  <si>
    <t xml:space="preserve">2-s2.0-85086575601</t>
  </si>
  <si>
    <t xml:space="preserve">Deep learning based efficient ship detection from drone-captured images for maritime surveillance</t>
  </si>
  <si>
    <t xml:space="preserve">The use of drones to observe ships is an effective means of maritime surveillance. However, the object scale from drone-captured images changes dramatically, presenting a significant challenge for ship detection. Additionally, the limited computing resources on drones make it difficult to achieve fast detection speed. To address these issues, we propose an efficient deep learning based network, namely the YOLOv5-ODConvNeXt, for ship detection from drone-captured images. YOLOv5-ODConvNeXt is a more accurate and faster network designed to improve the efficiency of maritime surveillance. Based on YOLOv5, we implement Omni-dimensional Convolution (ODConv) in the YOLOv5 backbone to boost the accuracy without increasing the network width and depth. We also replace the original C3 block with a ConvNeXt block in YOLOv5 backbone to accelerate detection speed with only a slight decline in accuracy. We test our model on a self-constructed ship detection dataset containing 3200 images captured by drones or with a drone view. The experimental results show that our model achieves 48.0% AP, exceeding the accuracy of YOLOv5s by 1.2% AP. The detection speed of our network is 8.3 ms per image on an NVIDIA RTX3090 GPU, exceeding the detection speed of YOLOv5s by 13.3%. Our code is available at https://github.com/chengshuxiao/YOLOv5-ODConvNeXt. © 2023 Elsevier Ltd</t>
  </si>
  <si>
    <t xml:space="preserve">Convolutional Neural Network (CNN); Drone-captured images; Maritime surveillance; Ship detection; YOLOv5</t>
  </si>
  <si>
    <t xml:space="preserve">10.1016/j.oceaneng.2023.115440</t>
  </si>
  <si>
    <t xml:space="preserve">2-s2.0-85166586111</t>
  </si>
  <si>
    <t xml:space="preserve">Generalized velocity obstacle algorithm for preventing ship collisions at sea</t>
  </si>
  <si>
    <t xml:space="preserve">Numerous methods have been developed for ship collision prevention over the past decades. However, most studies are based on strong assumptions, such as the need for a constant velocity of the target-ship, the limitation to two-ship scenarios, the simplification of ships’ dynamics, etc. Generalized Velocity Obstacle (GVO) algorithm can bridge these gaps. This paper presents a GVO algorithm for ship collision avoidance and designs a collision avoidance system (GVO-CAS). The proposed system visualizes the changes of one ship's course and speed resulting in collisions, which can be used not only for supporting the officer on watch to prevent collisions, but also for collision prevention of Autonomous Surface Vessels (ASVs) and for human operators taking over the control of ASVs. Simulation experiments show that the proposed collision avoidance system can work properly in various maritime environments. Compared to the original Velocity Obstacle algorithm, the GVO algorithm is more reliable and suitable for close range ship collision avoidance. Moreover, the GVO-CAS can offer rule-compliant evasive actions with a minimum number of required actions for ships. These results show the great potential to use the GVO algorithm in both manned and unmanned ships at sea. © 2019 Elsevier Ltd</t>
  </si>
  <si>
    <t xml:space="preserve">Collision prevention; COLREGs compliance; Generalized velocity obstacle; Ship dynamics model</t>
  </si>
  <si>
    <t xml:space="preserve">10.1016/j.oceaneng.2018.12.053</t>
  </si>
  <si>
    <t xml:space="preserve">2-s2.0-85059468877</t>
  </si>
  <si>
    <t xml:space="preserve">A real-time multi-ship collision avoidance decision-making system for autonomous ships considering ship motion uncertainty</t>
  </si>
  <si>
    <t xml:space="preserve">Ship autonomous collision avoidance has attracted increasing attention in recent years. However, more attention is paid to the scenario in which the target ship keeps its course and speed. Less attention is paid to the development of a collision avoidance decision-making system under the uncertainty of the target ship's movement in a complex multi-ship encounter situation. Based on the idea of model predictive control (MPC), this paper proposes an autonomous ship collision avoidance decision-making system (CADMS) suitable for the uncertainty of ship motion. The CADMS includes four modules: collision risk analysis module, control and execution module, ship trajectory prediction module and collision avoidance decision-making model. The proposed model can be implemented in the collision avoidance decision-making system for safe navigation or it can be included in the ship autonomous navigation process. The decision-making model is achieved from a risk identification-motion prediction-ship control-scheme implementation perspective, and the dynamic and uncertainty features of the ship action (i.e., alter course or change speed) are considered in the modelling process. The real-time rolling update of ship collision avoidance decisions is realised based on the time series rolling method. Four scenarios are designed to demonstrate the collision avoidance decision-making system's performance. The results show that the proposed collision avoidance decision-making system is a reasonable</t>
  </si>
  <si>
    <t xml:space="preserve">Autonomous ships; Collision avoidance decision-making systems; Model predictive control; Ship motion uncertainty; Velocity obstacle</t>
  </si>
  <si>
    <t xml:space="preserve">10.1016/j.oceaneng.2023.114205</t>
  </si>
  <si>
    <t xml:space="preserve">2-s2.0-85152934561</t>
  </si>
  <si>
    <t xml:space="preserve">Deep reinforcement learning with dynamic window approach based collision avoidance path planning for maritime autonomous surface ships</t>
  </si>
  <si>
    <t xml:space="preserve">Automatic obstacle avoidance technology is one of the key technologies for ship intelligence. The purpose of this paper is to investigate the obstacle avoidance problem of maritime autonomous surface ships(MASS) in a complex offshore environment, and an obstacle avoidance strategy based on deep reinforcement learning and a dynamic window algorithm was proposed. To solve the collision avoidance problems that may occur during intelligent ship navigation, the action space of the proximal policy optimization (PPO) algorithm is defined according to the description of ship motion by linear and angular velocity in the dynamic window approach (DWA). The maximum detection distance of the MASS is utilized to construct the ship safety domain, which determines the state space containing the information of this ship and the nearest obstacle. To solve the problem of sparse reward, the reward function of the PPO is improved by combining the evaluation functions for distance, velocity and heading in the DWA. To verify the effectiveness of the algorithm, simulation experiments are performed in various situations. It is also shown that the improved algorithm can make the optimal collision avoidance decision from the complex environment and can effectively realize autonomous collision avoidance path planning for the MASS. © 2023</t>
  </si>
  <si>
    <t xml:space="preserve">Deep reinforcement learning; Dynamic window approach; Maritime autonomous surface ships; Ship collision avoidance</t>
  </si>
  <si>
    <t xml:space="preserve">10.1016/j.oceaneng.2023.115208</t>
  </si>
  <si>
    <t xml:space="preserve">2-s2.0-85163857447</t>
  </si>
  <si>
    <t xml:space="preserve">Enhanced YOLO v3 Tiny Network for Real-Time Ship Detection from Visual Image</t>
  </si>
  <si>
    <t xml:space="preserve">Different from ship detection from synthetic aperture radar (SDSAR) and ship detection from spaceborne optical images (SDSOI), ship detection from visual image (SDVI) has better detection accuracy and real-time performance, which can be widely used in port management, cross-border ship detection, autonomous ship, safe navigation, and other real-time applications. In this paper, we proposed a new SDVI algorithm, named enhanced YOLO v3 tiny network for real-time ship detection. The algorithm can be used in video surveillance to realize the accurate classification and positioning of six types of ships (including ore carrier, bulk cargo carrier, general cargo ship, container ship, fishing boat, and passenger ship) in real-time. Based on the original YOLO v3 tiny network, we have made the following fine tunings. 1) The preset anchors trained on Seaship annotation data have the similar 'dumpy' shape as the normal ships, helping the network to achieve faster and better training; 2) Convolution layer instead of max-pooling layer and expanding the channels of prediction network improve the small target detection ability of the algorithm. 3) Due to the problem that large-scale ships are easily disturbed by the onshore building, complex waves and light on the water surface, we introduced attention module named CBAM into the backbone network, which make the model more focused on the target. The detection accuracy of the proposed algorism is obviously better than that of the original YOLO</t>
  </si>
  <si>
    <t xml:space="preserve">attention module; convolutional neural network; model tuning; Object detection; ship detection</t>
  </si>
  <si>
    <t xml:space="preserve">10.1109/ACCESS.2021.3053956</t>
  </si>
  <si>
    <t xml:space="preserve">2-s2.0-85100267423</t>
  </si>
  <si>
    <t xml:space="preserve">A collision avoidance decision-making system for autonomous ship based on modified velocity obstacle method</t>
  </si>
  <si>
    <t xml:space="preserve">This paper proposed a new collision avoidance decision-making system designed for autonomous ship. The system outputs collision avoidance decisions based on the latest information at a certain frequency, which is suitable for real ship application. Front end and back end are two main components of this system. Front end provides preliminary information while back end generates collision avoidance decisions. Based on modified velocity obstacle method, the multistage optimization decision model is introduced and various constrains are considered including ship maneuverability, multi-ship, COLREGS, off-course and seamanship. Then the interactive actions taken by other ships during collision avoidance process are further analyzed. The modified velocity obstacle method incorporates a Finite State Machine (FSM) which can be used to handle the dynamic behavior of other ships. Finally, the case study is completed on the Electronic Chart System (ECS) to show that the proposed collision avoidance decision-making system is robust and effective under various marine scenarios. Therefore, the system has great potential to be equipped on board in the future. © 2020 Elsevier Ltd</t>
  </si>
  <si>
    <t xml:space="preserve">Autonomous ship; Decision-making system; Ship collision avoidance; Velocity obstacle</t>
  </si>
  <si>
    <t xml:space="preserve">10.1016/j.oceaneng.2020.107910</t>
  </si>
  <si>
    <t xml:space="preserve">2-s2.0-85099780125</t>
  </si>
  <si>
    <t xml:space="preserve">Are we ready for unmanned surface vehicles in inland waterways? The USVInland multisensor dataset and benchmark</t>
  </si>
  <si>
    <t xml:space="preserve">Unmanned surface vehicles (USVs) have great value with their ability to execute hazardous and time-consuming missions over water surfaces. Recently, USVs for inland waterways have attracted increasing attention for their potential application in autonomous monitoring, transportation, and cleaning. However, unlike sailing in open water, the challenges posed by scenes of inland waterways, such as the complex distribution of obstacles, the global positioning system (GPS) signal denial environment, the reflection of bank-side structures, and the fog over the water surface, all impede USV application in inland waterways. To address these problems and stimulate relevant research, we introduce USVInland, a multisensor dataset for USVs in inland waterways. The collection of USVInland spans a trajectory of more than 26 km in diverse real-world scenes of inland waterways using various modalities, including lidar, stereo cameras, millimeter-wave radar, GPS, and inertial measurement units (IMUs). Based on the requirements and challenges in the perception and navigation of USVs for inland waterways, we build benchmarks for simultaneous localization and mapping (SLAM), stereo matching, and water segmentation. We evaluate common algorithms for the above tasks to determine the influence of unique inland waterway scenes on algorithm performance. Our dataset and the development tools are available at.1  © 2016 IEEE.</t>
  </si>
  <si>
    <t xml:space="preserve">data sets for robotic vision; Data sets for SLAM; marine robotics</t>
  </si>
  <si>
    <t xml:space="preserve">10.1109/LRA.2021.3067271</t>
  </si>
  <si>
    <t xml:space="preserve">2-s2.0-85103267187</t>
  </si>
  <si>
    <t xml:space="preserve">Path planning and dynamic collision avoidance algorithm under COLREGs via deep reinforcement learning</t>
  </si>
  <si>
    <t xml:space="preserve">As one of the core technologies of the automatic control system for unmanned surface vehicles (USVs), autonomous collision avoidance algorithm is the key to ensure the safe navigation of USVs. In this paper, path planning and dynamic collision avoidance (PPDC) algorithm which obeys COLREGs is proposed for USVs. In order to avoid unnecessary collision avoidance actions, the risk assessment model is developed, which is used to determine the switching time of path planning and dynamic collision avoidance. In order to train the algorithm which complies with the COLREGs, the encounter situation is divided quantitatively, which is regarded as the input state of the system, so that the high-dimensional input is successfully avoided. The state space of the USV is defined by relative parameters to improve the generalization ability of the algorithm, meanwhile, a network structure based on DDPG is designed to achieve the continuous output of thrust and rudder angle. Combined with path planning, collision avoidance, compliance with COLREGs and smooth arrival task, four kinds of reward functions are designed. In order to solve the problem of low training efficiency of experience replay mechanism in DDPG, cumulative priority sampling mechanism is proposed. Through the simulation and verification in a variety of scenarios, it is proved that PPDC algorithm has the function of path planning and dynamic collision avoidance in compliance with COLREGs, which has good real-time performance and s</t>
  </si>
  <si>
    <t xml:space="preserve">COLREGs; Cumulative priority sampling mechanism; DDPG; Dynamic collision avoidance; Unmanned surface vehicle</t>
  </si>
  <si>
    <t xml:space="preserve">Neurocomputing</t>
  </si>
  <si>
    <t xml:space="preserve">10.1016/j.neucom.2021.09.071</t>
  </si>
  <si>
    <t xml:space="preserve">2-s2.0-85118789415</t>
  </si>
  <si>
    <t xml:space="preserve">HSF-Net: Multiscale deep feature embedding for ship detection in optical remote sensing imagery</t>
  </si>
  <si>
    <t xml:space="preserve">Ship detection is an important and challenging task in remote sensing applications. Most methods utilize specially designed hand-crafted features to detect ships, and they usually work well only on one scale, which lack generalization and impractical to identify ships with various scales from multiresolution images. In this paper, we propose a novel deep feature-based method to detect ships in very high-resolution optical remote sensing images. In our method, a regional proposal network is used to generate ship candidates from feature maps produced by a deep convolutional neural network. To efficiently detect ships with various scales, a hierarchical selective filtering layer is proposed to map features in different scales to the same scale space. The proposed method is an end-to-end network that can detect both inshore and offshore ships ranging from dozens of pixels to thousands. We test our network on a large ship data set which will be released in the future, consisting of Google Earth images, GaoFen-2 images, and unmanned aerial vehicle data. Experiments demonstrate high precision and robustness of our method. Further experiments on aerial images show its good generalization to unseen scenes. © 2018 IEEE.</t>
  </si>
  <si>
    <t xml:space="preserve">Convolutional neural network (CNN); multiscale analysis; object detection; optical image; remote sensing</t>
  </si>
  <si>
    <t xml:space="preserve">10.1109/TGRS.2018.2848901</t>
  </si>
  <si>
    <t xml:space="preserve">2-s2.0-85057370135</t>
  </si>
  <si>
    <t xml:space="preserve">Towards objective human performance measurement for maritime safety: A new psychophysiological data-driven machine learning method</t>
  </si>
  <si>
    <t xml:space="preserve">Human errors significantly contribute to transport accidents. Human performance measurement (HPM) is crucial to ensure human reliability and reduce human errors. However, how to address and reduce the subjective bias introduced by assessors in HPM and seafarer certification remains a key research challenge. This paper aims to develop a new psychophysiological data-driven machine learning method to realize the effective HPM in the maritime sector. It conducts experiments using a functional Near-Infrared Spectroscopy (fNIRS) technology and compares the performance of two groups in a maritime case (i.e. experienced and inexperienced seafarers in terms of different qualifications by certificates), via an Artificial Neural Network (ANN) model. The results have generated insightful implications and new contributions, including (1) the introduction of an objective criterion for assessors to monitor, assess, and support seafarer training and certification for maritime authorities; (2) the quantification of human response under specific missions, which serves as an index for a shipping company to evaluate seafarer reliability; (3) a supportive tool to evaluate human performance in complex emerging systems (e.g. Maritime Autonomous Surface Ship (MASS)) design for ship manufactures and shipbuilders. © 2023 The Author(s)</t>
  </si>
  <si>
    <t xml:space="preserve">Human errors; Human performance; Human reliability; Maritime education and training; Maritime safety; Maritime transport</t>
  </si>
  <si>
    <t xml:space="preserve">10.1016/j.ress.2023.109103</t>
  </si>
  <si>
    <t xml:space="preserve">2-s2.0-85146667059</t>
  </si>
  <si>
    <t xml:space="preserve">Collision avoidance for autonomous ship using deep reinforcement learning and prior-knowledge-based approximate representation</t>
  </si>
  <si>
    <t xml:space="preserve">Reinforcement learning (RL) has shown superior performance in solving sequential decision problems. In recent years, RL is gradually being used to solve unmanned driving collision avoidance decision-making problems in complex scenarios. However, ships encounter many scenarios, and the differences in scenarios will seriously hinder the application of RL in collision avoidance at sea. Moreover, the iterative speed of trial-and-error learning for RL in multi-ship encounter scenarios is slow. To solve this problem, this study develops a novel intelligent collision avoidance algorithm based on approximate representation reinforcement learning (AR-RL) to realize the collision avoidance of maritime autonomous surface ships (MASS) in a continuous state space environment involving interactive learning capability like a crew in navigation situation. The new algorithm uses an approximate representation model to deal with the optimization of collision avoidance strategies in a dynamic target encounter situation. The model is combined with prior knowledge and International Regulations for Preventing Collisions at Sea (COLREGs) for optimal performance. This is followed by a design of an online solution to a value function approximation model based on gradient descent. This approach can solve the problem of large-scale collision avoidance policy learning in static-dynamic obstacles mixed environment. Finally, algorithm tests were constructed though two scenarios (i.e., the coastal static ob</t>
  </si>
  <si>
    <t xml:space="preserve">approximate representation; autonomous ship; collision avoidance; continuous state space; deep reinforcement learning</t>
  </si>
  <si>
    <t xml:space="preserve">10.3389/fmars.2022.1084763</t>
  </si>
  <si>
    <t xml:space="preserve">2-s2.0-85147304385</t>
  </si>
  <si>
    <t xml:space="preserve">Automatic collision avoidance algorithm based on route-plan-guided artificial potential field method</t>
  </si>
  <si>
    <t xml:space="preserve">With respect to navigation practices and real-ship applications, this study provided a stable and reliable technical program for automatic ship navigation. First, an improved route-plan-guided artificial potential field (APF) method was presented by balancing the attractive and repulsive forces, resolving the irrationality and swaying of the collision avoidance (CA) strategy, and extending the applicability of the International Regulations for Preventing Collisions at Sea (COLREGS). Second, a fast local path planning (FLPP) method was proposed based on the high-precision ship motion model to obtain the expected CA results in advance, and to promote its acceptance and application by the navigators. Third, a dynamic goal-guided APF method was proposed to navigate a ship to return to its route plan upon completing the CA procedure. A series of CA experiments for different ships and encountering situations were conduct in a simulated environment. Although the varying maneuverability influenced the CA procedure and results, the CA processes and trends were identical, and the track zone width was within 0.10 nm in restricted waters. The real-time CA track sufficiently aligned with the FLPP results, and the ship was able to rapidly return to its route plan and remained within the cross track limit (XTL) according to the set return parameters. © 2023 Elsevier Ltd</t>
  </si>
  <si>
    <t xml:space="preserve">Artificial potential field; Collision avoidance; Environment potential field modelling; Maritime autonomous surface ships; Trajectory planning</t>
  </si>
  <si>
    <t xml:space="preserve">10.1016/j.oceaneng.2023.113737</t>
  </si>
  <si>
    <t xml:space="preserve">2-s2.0-85147427271</t>
  </si>
  <si>
    <t xml:space="preserve">Collision Risk Inference System for Maritime Autonomous Surface Ships Using COLREGs Rules Compliant Collision Avoidance</t>
  </si>
  <si>
    <t xml:space="preserve">Maritime autonomous surface ships (MASS) need to be sufficiently safe to gain commercial acceptance. Collision avoidance strategies in such MASS should comply with the International Regulations for Preventing Collision at the Sea (COLREGs). According to the COLREGs, collision risk assessment, which determines the optimal positioning and timing via all available means appropriate to the prevailing circumstances and conditions, is crucial for preventing collisions. However, existing collision risk assessment methods do not consider all vital factors for the COLREGs rules compliant collision avoidance. We propose a collision risk inference system for MASS that complies with COLREGs vital rules for collision avoidance as follows: 1) actions to avoid collision are defined according to the degree of danger, and a suitable response distance is determined; 2) a collision risk index according to the enlarged ship domain based on the designated response distance by each level is set; 3) all vital factors of the COLREGs rules compliant collision avoidance are extracted as the data when the ship domain enlarged by each level is overlapped; 4) the collision risk inference system is developed by learning extracted data via the adaptive neuro fuzzy inference system. In contrast to existing research, the proposed system considers all vital variables in the COLREGs rules compliant collision avoidance guidelines, thereby improving the timings and positionings of the potential collision warning</t>
  </si>
  <si>
    <t xml:space="preserve">Adaptive neuro fuzzy inference system; collision avoidance; collision risk inference system; COLREGs; maritime autonomous surface ships; near-collision accident; ship domain</t>
  </si>
  <si>
    <t xml:space="preserve">10.1109/ACCESS.2021.3049238</t>
  </si>
  <si>
    <t xml:space="preserve">2-s2.0-85099218190</t>
  </si>
  <si>
    <t xml:space="preserve">A framework to model the STPA hierarchical control structure of an autonomous ship</t>
  </si>
  <si>
    <t xml:space="preserve">The demand for risk and safety analysis is becoming greater due to the increased complexity of modern systems such as autonomous ships. Safety is one of the main motivations behind the efforts of multiple organizations to develop autonomous ships. The adoption of an early system-theoretic approach to safety such as System Theoretic Process Analysis (STPA) is an effective way to integrate safety in complex systems. Furthermore, many authors have urged the use of this method to analyse the risks of autonomous vessels in the development phases. Applying STPA requires a description of the system to model the hierarchical control structure and conduct the analysis. At this stage, the functional description of autonomous ships remains limited, which poses a challenge in building the hierarchical control structure. This paper proposes a framework for developing a hierarchical control structure of an autonomous ship. The framework is founded on the principles of the STPA control structure and its five main elements. It makes use of the current shipping operation system, the available information about autonomous ships and the experience of seafarers executing diverse tasks on-board conventional ships. The application of the framework showed that the information provided by the seafarers is essential in developing an initial functional description of an autonomous ship. Furthermore, the results revealed that in addition to the technical aspects of autonomous ships, introducing these v</t>
  </si>
  <si>
    <t xml:space="preserve">Autonomous Navigation System; Autonomous ship; Maritime safety; STAMP; STPA; System safety engineering</t>
  </si>
  <si>
    <t xml:space="preserve">10.1016/j.ssci.2020.104939</t>
  </si>
  <si>
    <t xml:space="preserve">2-s2.0-85089849558</t>
  </si>
  <si>
    <t xml:space="preserve">Autonomous collision detection and avoidance for ARAGON USV: Development and field tests</t>
  </si>
  <si>
    <t xml:space="preserve">This study addresses the development of algorithms for multiple target detection and tracking in the framework of sensor fusion and its application to autonomous navigation and collision avoidance systems for the unmanned surface vehicle (USV) Aragon. To provide autonomous navigation capabilities, various perception sensors such as radar, lidar, and cameras have been mounted on the USV platform and automatic ship detection algorithms are applied to the sensor measurements. The relative position information between the USV and nearby objects is obtained to estimate the motion of the target objects in a sensor-level tracking filter. The estimated motion information from the individual tracking filters is then combined in a central-level fusion tracker to achieve persistent and reliable target tracking performance. For automatic ship collision avoidance, the combined track data are used as obstacle information, and appropriate collision avoidance maneuvers are designed and executed in accordance with the international regulations for preventing collisions at sea (COLREGs). In this paper, the development processes of the vehicle platform and the autonomous navigation algorithms are described, and the results of field experiments are presented and discussed. © 2020 The Authors. Journal of Field Robotics published by Wiley Periodicals, Inc.</t>
  </si>
  <si>
    <t xml:space="preserve">autonomous navigation; multiple target tracking; sensor fusion; unmanned surface vehicle</t>
  </si>
  <si>
    <t xml:space="preserve">Journal of Field Robotics</t>
  </si>
  <si>
    <t xml:space="preserve">10.1002/rob.21935</t>
  </si>
  <si>
    <t xml:space="preserve">2-s2.0-85078732820</t>
  </si>
  <si>
    <t xml:space="preserve">Multi-scale collision risk estimation for maritime traffic in complex port waters</t>
  </si>
  <si>
    <t xml:space="preserve">Ship collision risk estimation is an essential component of intelligent maritime surveillance systems. Traditional risk estimation approaches, which can only analyze traffic risk in one specific scale, reveal a significant challenge in quantifying the collision risk of a traffic scenario from different spatial scales. This is detrimental to understanding the traffic situations and supporting effective anti-collision decision-making, particularly as maritime traffic complexity grows and autonomous ships emerge. In this study, a systematic multi-scale collision risk estimation approach is newly developed to capture traffic conflict patterns under different spatial scales. It extends the application of the complex network theory and a node deletion method to quantify the interactions and dependencies among multiple ships within encounter scenarios, enabling collision risk to be evaluated at any spatial scale. Meanwhile, an advanced graph-based clustering framework is introduced to search for the optimal spatial scales for risk evaluation. Extensive numerical experiments based on AIS data in Ningbo_Zhoushan Port are implemented to evaluate the model performance. Experimental results reveal that the proposed approach can strengthen maritime situational awareness, identify high-risk areas and support strategic maritime safety management. This work therefore sheds light on improving the intelligent levels of maritime surveillance and promoting maritime traffic automation. © 2023 The</t>
  </si>
  <si>
    <t xml:space="preserve">Graph clustering; Intelligent maritime surveillance; Maritime safety; Multi-scale collision risk; Network theory</t>
  </si>
  <si>
    <t xml:space="preserve">10.1016/j.ress.2023.109554</t>
  </si>
  <si>
    <t xml:space="preserve">2-s2.0-85168415721</t>
  </si>
  <si>
    <t xml:space="preserve">Intelligent collision avoidance algorithms for USVs via deep reinforcement learning under COLREGs</t>
  </si>
  <si>
    <t xml:space="preserve">In the field of unmanned surface vehicles, intelligent collision avoidance technology is essential to ensure the safety of navigating. In this paper, the problem of avoiding moving boats for USVs under the constraints of COLREGs is studied. A COLREGs intelligent collision avoidance (CICA) algorithm based on deep reinforcement learning is proposed, which can automatically extract state features by using powerful deep neural networks. The reward function is designed, which ensures that the USV navigates to the target while obeying COLREGs to avoid dynamic obstacles. A method is proposed to track the current network weight to update the target network weight, which improves the stability of the algorithm in learning the optimal strategy. It is shown that the CICA algorithm converges with fewer training times through ε-greedy with both decaying ε and reward threshold than other three strategies. By comparing the CICA algorithm with the artificial potential field method and the velocity obstacle method, it is concluded that the CICA algorithm is superior to the other two algorithms. © 2020 Elsevier Ltd</t>
  </si>
  <si>
    <t xml:space="preserve">COLREGs; Deep learning; Dynamic collision avoidance; Reinforcement learning; Unmanned surface vehicles</t>
  </si>
  <si>
    <t xml:space="preserve">10.1016/j.oceaneng.2020.107704</t>
  </si>
  <si>
    <t xml:space="preserve">2-s2.0-85090729117</t>
  </si>
  <si>
    <t xml:space="preserve">Developing a navigation, guidance and obstacle avoidance algorithm for an Unmanned Surface Vehicle (USV) by algorithms fusion</t>
  </si>
  <si>
    <t xml:space="preserve">Many USVs are equipped with navigation, guidance and control (NGC) algorithms due to human errors that is present in manual navigation of surface vehicles. The Morvarid, a catamaran shaped boat is designed and developed for plotting hydrography map of harbours. To control it autonomously, a fusion algorithm based on EKF, search ball and potential field concept is developed. Some main parameters of dynamic model is derived based on experimental tests and the algorithm is evaluated using hardware-in-the-loop concept. The obstacle avoidance algorithm is assessed for different obstacles in size and position. It is concluded that although the developed algorithm is robust and precise even in the presence of environmental disturbances, however installing powerful thrusters would boost maneuverability more than that is. © 2018 Elsevier Ltd</t>
  </si>
  <si>
    <t xml:space="preserve">Kalman filter; Navigation; Obstacle avoidance; Search ball; Thrust</t>
  </si>
  <si>
    <t xml:space="preserve">10.1016/j.oceaneng.2018.04.018</t>
  </si>
  <si>
    <t xml:space="preserve">2-s2.0-85045413810</t>
  </si>
  <si>
    <t xml:space="preserve">Detection of River Plastic Using UAV Sensor Data and Deep Learning</t>
  </si>
  <si>
    <t xml:space="preserve">Plastic pollution is a critical global issue. Increases in plastic consumption have triggered increased production, which in turn has led to increased plastic disposal. In situ observation of plastic litter is tedious and cumbersome, especially in rural areas and around transboundary rivers. We therefore propose automatic mapping of plastic in rivers using unmanned aerial vehicles (UAVs) and deep learning (DL) models that require modest compute resources. We evaluate the method at two different sites: the Houay Mak Hiao River, a tributary of the Mekong River in Vientiane, Laos, and Khlong Nueng canal in Talad Thai, Khlong Luang, Pathum Thani, Thailand. Detection models in the You Only Look Once (YOLO) family are evaluated in terms of runtime resources and mean average Precision (mAP) at an Intersection over Union (IoU) threshold of 0.5. YOLOv5s is found to be the most effective model, with low computational cost and a very high mAP of 0.81 without transfer learning for the Houay Mak Hiao dataset. The performance of all models is improved by transfer learning from Talad Thai to Houay Mak Hiao. Pre-trained YOLOv4 with transfer learning obtains the overall highest accuracy, with a 3.0% increase in mAP to 0.83, compared to the marginal increase of 2% in mAP for pre-trained YOLOv5s. YOLOv3, when trained from scratch, shows the greatest benefit from transfer learning, with an increase in mAP from 0.59 to 0.81 after transfer learning from Talad Thai to Houay Mak Hiao. The pretrained</t>
  </si>
  <si>
    <t xml:space="preserve">deep learning; plastic; transfer learning; UAVs</t>
  </si>
  <si>
    <t xml:space="preserve">10.3390/rs14133049</t>
  </si>
  <si>
    <t xml:space="preserve">2-s2.0-85133284143</t>
  </si>
  <si>
    <t xml:space="preserve">Assessing Cyber Risk in Cyber-Physical Systems Using the ATT&amp;CK Framework</t>
  </si>
  <si>
    <t xml:space="preserve">Autonomous transport is receiving increasing attention, with research and development activities already providing prototype implementations. In this article we focus on Autonomous Passenger Ships (APS), which are being considered as a solution for passenger transport across urban waterways. The ambition of the authors has been to examine the safety and security implications of such a Cyber Physical System (CPS), particularly focusing on threats that endanger the passengers and the operational environment of the APS. Accordingly, the article presents a new risk assessment approach based on a Failure Modes Effects and Criticality Analysis (FMECA) that is enriched with selected semantics and components of the MITRE ATT&amp;CK framework, in order to utilize the encoded common knowledge and facilitate the expression of attacks. Then, the proposed approach is demonstrated through conducting a risk assessment for a communication architecture tailored to the requirements of APSs that were proposed in earlier work. Moreover, we propose a group of graph theory-based metrics for estimating the impact of the identified risks. The use of this method has resulted in the identification of risks and their corresponding countermeasures, in addition to identifying risks with limited existing mitigation mechanisms. The benefits of the proposed approach are the comprehensive, atomic, and descriptive nature of the identified threats, which reduce the need for expert judgment, and the granular impact</t>
  </si>
  <si>
    <t xml:space="preserve">autonomous ship; Cyber-Physical System; FMECA; MITRE ATT&amp;CK; Risk assessment; safety and security</t>
  </si>
  <si>
    <t xml:space="preserve">ACM Transactions on Privacy and Security</t>
  </si>
  <si>
    <t xml:space="preserve">10.1145/3571733</t>
  </si>
  <si>
    <t xml:space="preserve">2-s2.0-85153562841</t>
  </si>
  <si>
    <t xml:space="preserve">Learn to Navigate: Cooperative Path Planning for Unmanned Surface Vehicles Using Deep Reinforcement Learning</t>
  </si>
  <si>
    <t xml:space="preserve">Unmanned surface vehicle (USV) has witnessed a rapid growth in the recent decade and has been applied in various practical applications in both military and civilian domains. USVs can either be deployed as a single unit or multiple vehicles in a fleet to conduct ocean missions. Central to the control of USV and USV formations, path planning is the key technology that ensures the navigation safety by generating collision free trajectories. Compared with conventional path planning algorithms, the deep reinforcement learning (RL) based planning algorithms provides a new resolution by integrating a high-level artificial intelligence. This work investigates the application of deep reinforcement learning algorithms for USV and USV formation path planning with specific focus on a reliable obstacle avoidance in constrained maritime environments. For single USV planning, with the primary aim being to calculate a shortest collision avoiding path, the designed RL path planning algorithm is able to solve other complex issues such as the compliance with vehicle motion constraints. The USV formation maintenance algorithm is capable of calculating suitable paths for the formation and retain the formation shape robustly or vary shapes where necessary, which is promising to assist with the navigation in environments with cluttered obstacles. The developed three sets of algorithms are validated and tested in computer-based simulations and practical maritime environments extracted from real har</t>
  </si>
  <si>
    <t xml:space="preserve">Deep reinforcement learning; motion planning; multi-agent systems; unmanned surface vehicles (USVs); USV formations</t>
  </si>
  <si>
    <t xml:space="preserve">10.1109/ACCESS.2019.2953326</t>
  </si>
  <si>
    <t xml:space="preserve">2-s2.0-85077737812</t>
  </si>
  <si>
    <t xml:space="preserve">Ship Detection under Low-Visibility Weather Interference via an Ensemble Generative Adversarial Network</t>
  </si>
  <si>
    <t xml:space="preserve">Maritime ship detection plays a crucial role in smart ships and intelligent transportation systems. However, adverse maritime weather conditions, such as rain streak and fog, can significantly impair the performance of visual systems for maritime traffic. These factors constrain the performance of traffic monitoring systems and ship-detection algorithms for autonomous ship navigation, affecting maritime safety. The paper proposes an approach to resolve the problem by visually removing rain streaks and fog from images, achieving an integrated framework for accurate ship detection. Firstly, the paper employs an attention generation network within an adversarial neural network to focus on the distorted regions of the degraded images. The paper also utilizes a contextual encoder to infer contextual information within the distorted regions, enhancing the credibility of image restoration. Secondly, a weighted bidirectional feature pyramid network (BiFPN) is introduced to achieve rapid multi-scale feature fusion, enhancing the accuracy of maritime ship detection. The proposed GYB framework was validated using the SeaShip dataset. The experimental results show that the proposed framework achieves an average accuracy of 96.3%, a recall of 95.35%, and a harmonic mean of 95.85% in detecting maritime traffic ships under rain-streak and foggy-weather conditions. Moreover, the framework outperforms state-of-the-art ship detection methods in such challenging weather scenarios. © 2023 by the</t>
  </si>
  <si>
    <t xml:space="preserve">adverse weather; image restoration; improved YOLOv5; intelligent maritime transportation; ship detection</t>
  </si>
  <si>
    <t xml:space="preserve">Journal of Marine Science and Engineering</t>
  </si>
  <si>
    <t xml:space="preserve">10.3390/jmse11112065</t>
  </si>
  <si>
    <t xml:space="preserve">2-s2.0-85178337166</t>
  </si>
  <si>
    <t xml:space="preserve">COLREGs-abiding hybrid collision avoidance algorithm based on deep reinforcement learning for USVs</t>
  </si>
  <si>
    <t xml:space="preserve">In order to realize the autonomous collision avoidance of unmanned surface vehicles (USVs), an intelligent hybrid collision avoidance algorithm based on deep reinforcement learning is proposed. First, the navigation situation model of the USV is designed, the geometric model of the encounter between two ships is established based on navigation practice. According to static and dynamic obstacles, hybrid risk assessment and collision avoidance model are proposed, the risk factor is calculated. Then, for static obstacles, the collision cone is introduced, for dynamic ships, the COLREGS is observed, the encounter situation is quantified into five types. Collision avoidance strategy is formulated. Finally, the state, action, reward function and network structure are designed. Aiming at the problem of low utilization for samples in random sampling, this paper improves the original sampling mechanism of DDPG, and the priority sampling mechanism with cumulative pruning is proposed in this paper. Simulation experiments are carried out in several typical encounter scenarios. The results show that this algorithm can accurately judge the encounter situation, give reasonable collision avoidance actions, and realize effective collision avoidance in a complex environment with dynamic and static obstacles. The research can provide theoretical basis and method reference for autonomous navigation of USVs. © 2022 Elsevier Ltd</t>
  </si>
  <si>
    <t xml:space="preserve">COLREGs; Deep reinforcement learning; Hybrid collision avoidance; Priority sampling mechanism with cumulative pruning; Unmanned surface vehicles</t>
  </si>
  <si>
    <t xml:space="preserve">10.1016/j.oceaneng.2022.110749</t>
  </si>
  <si>
    <t xml:space="preserve">2-s2.0-85124311772</t>
  </si>
  <si>
    <t xml:space="preserve">A novel arena-based regional collision risk assessment method of multi-ship encounter situation in complex waters</t>
  </si>
  <si>
    <t xml:space="preserve">Aiming at the problem that it is difficult to accurately quantify ship regional collision risk under multi-ship encounter situation in complex waters, this paper proposes a novel arena-based regional ship collision risk assessment method that combines density clustering and multiple influence factors in respect to ship arena in complex waters. Firstly, the DBSCAN is used to cluster the position of the ship, and obtain the spatial distribution of the clusters of encounter ships (CES). Then considering the influence factors of DCPA, TCPA and relative bearing (RB) from the perspective of ship arena, the calculation function of ship regional collision risk is established, the comprehensive ship regional collision risk calculation model considering multiple factors is synthesized. In order to verify the effectiveness of the proposed method, the method has been applied to the west coast of Sweden waters. We have also conducted comparative analysis with the existed study, the results show that the proposed regional collision risk assessment considering the additional impact factors of RB can more effectively and accurately identify the ships with high collision risk. This paper provides a theoretical basis for shore-based safety surveillance center for autonomous ships in complex waters. © 2022 Elsevier Ltd</t>
  </si>
  <si>
    <t xml:space="preserve">Arena; Complex waters; DBSCAN; Regional collision risk; Relative bearing</t>
  </si>
  <si>
    <t xml:space="preserve">10.1016/j.oceaneng.2022.110531</t>
  </si>
  <si>
    <t xml:space="preserve">2-s2.0-85122993175</t>
  </si>
  <si>
    <t xml:space="preserve">An ensemble deep learning method with optimized weights for drone-based water rescue and surveillance</t>
  </si>
  <si>
    <t xml:space="preserve">Today's deep learning architectures, if trained with proper dataset, can be used for object detection in marine search and rescue operations. In this paper a dataset for maritime search and rescue purposes is proposed. It contains aerial-drone videos with 40,000 hand-annotated persons and objects floating in the water, many of small size, which makes them difficult to detect. The second contribution is our proposed object detection method. It is an ensemble composed of a number of the deep convolutional neural networks, orchestrated by the fusion module with the nonlinearly optimized voting weights. The method achieves over 82% of average precision on the new aerial-drone floating objects dataset and outperforms each of the state-of-the-art deep neural networks, such as YOLOv3, -v4, Faster R-CNN, RetinaNet, and SSD300. The dataset is publicly available from the Internet. © 2021 - IOS Press. All rights reserved.</t>
  </si>
  <si>
    <t xml:space="preserve">Deep learning; ensemble of classifiers; Faster R-CNN; RetinaNet; SSD; UAV; water rescue; YOLO</t>
  </si>
  <si>
    <t xml:space="preserve">Integrated Computer-Aided Engineering</t>
  </si>
  <si>
    <t xml:space="preserve">10.3233/ica-210649</t>
  </si>
  <si>
    <t xml:space="preserve">2-s2.0-85105794471</t>
  </si>
  <si>
    <t xml:space="preserve">Safety challenges related to autonomous ships in mixed navigational environments</t>
  </si>
  <si>
    <t xml:space="preserve">Digitalization and technological advancements have accelerated the development and emergence of autonomous and remotely controlled ships in the maritime transport sector. This type of vessels consists of highly intelligent and adaptive functionalities, equipped with a variety of external sensors and actuators to gain situation awareness, automated control and adaptive maneuvering for achieving more efficient and sustainable operations. There are, however, many safety and reliability assurance challenges in autonomous operational and navigation systems due to their complex, adaptive, and non-deterministic nature. The issue of a mixed navigational environment where conventionally manned, remotely controlled, and unmanned vessels are interacting at the same sea area can be considered as one of the major obstacles in adopting of autonomous ships. Vulnerabilities can increase due to the potential divergence of vessel state awareness between autonomous operational systems and humans in such situations. Little research to date has dealt with such safety issues that a mix of human-operated, remotely controlled, and autonomous vessels will bring. This study explores the potential safety challenges related to autonomous ship operations in a mixed navigational environment and discusses several possible ways to reduce the same issues related to the identified safety risks, while including a discussion for possible future practice and research interests in ship navigation. © 2022, World M</t>
  </si>
  <si>
    <t xml:space="preserve">Autonomous ship; Maritime safety; MASS; Remote control; Unmanned vessel</t>
  </si>
  <si>
    <t xml:space="preserve">WMU Journal of Maritime Affairs</t>
  </si>
  <si>
    <t xml:space="preserve">10.1007/s13437-022-00277-z</t>
  </si>
  <si>
    <t xml:space="preserve">2-s2.0-85131066452</t>
  </si>
  <si>
    <t xml:space="preserve">MarineSeg: A CNN–transformer hybrid architecture with feature voting decoder for robust semantic segmentation in USV-captured images</t>
  </si>
  <si>
    <t xml:space="preserve">Semantic segmentation is essential for scene perception in unmanned surface vehicles (USVs), particularly in complex and dynamic navigation environments. Although recent Transformer models have outperformed convolutional neural networks (CNNs) in segmentation tasks, their high computational costs and large training data requirements limit their applicability to real-time navigation scenarios. To address these challenges in complex waterway environments, MarineSeg is proposed, a CNN-Transformer hybrid semantic segmentation architecture that achieves high performance while maintaining competitive efficiency. MarineSeg's backbone integrates sparse self-attention and multi-scale pooling into CoAtNet, which stacks convolutional blocks for capturing local features and attention blocks for modeling global features. To enhance the integration of local convolutional and global attention features, a feature voting module with ensemble mechanism is introduced, facilitating adaptive fusion based on semantic importance. By extracting and integrating multi-level features, MarineSeg achieves state-of-the-art performance among pure image models on the YZ-PLUS, GBA, MODS and MODD2 datasets across key metrics while maintaining competitive real-time capabilities. © 2026 Elsevier B.V.</t>
  </si>
  <si>
    <t xml:space="preserve">CNN-Transformer; MarineSeg; Semantic segmentation; Unmanned surface vehicle</t>
  </si>
  <si>
    <t xml:space="preserve">10.1016/j.neucom.2025.132597</t>
  </si>
  <si>
    <t xml:space="preserve">2-s2.0-105027338114</t>
  </si>
  <si>
    <t xml:space="preserve">WaterScenes: A Multi-Task 4D Radar-Camera Fusion Dataset and Benchmarks for Autonomous Driving on Water Surfaces</t>
  </si>
  <si>
    <t xml:space="preserve">Autonomous driving on water surfaces plays an essential role in executing hazardous and time-consuming missions, such as maritime surveillance, survivor rescue, environmental monitoring, hydrography mapping and waste cleaning. This work presents WaterScenes, the first multi-task 4D radar-camera fusion dataset for autonomous driving on water surfaces. Equipped with a 4D radar and a monocular camera, our Unmanned Surface Vehicle (USV) proffers all-weather solutions for discerning object-related information, including color, shape, texture, range, velocity, azimuth, and elevation. Focusing on typical static and dynamic objects on water surfaces, we label the camera images and radar point clouds at pixel-level and point-level, respectively. In addition to basic perception tasks, such as object detection, instance segmentation and semantic segmentation, we also provide annotations for free-space segmentation and waterline segmentation. Leveraging the multi-task and multi-modal data, we conduct benchmark experiments on the uni-modality of radar and camera, as well as the fused modalities. Experimental results demonstrate that 4D radar-camera fusion can considerably improve the accuracy and robustness of perception on water surfaces, especially in adverse lighting and weather conditions. WaterScenes dataset is public on https://waterscenes.github.io.  © 2024 IEEE.</t>
  </si>
  <si>
    <t xml:space="preserve">4D radar-camera fusion; Autonomous driving; multi-task; unmanned surface vehicle</t>
  </si>
  <si>
    <t xml:space="preserve">10.1109/TITS.2024.3415772</t>
  </si>
  <si>
    <t xml:space="preserve">2-s2.0-85197611307</t>
  </si>
  <si>
    <t xml:space="preserve">Deep learning-based object detection in maritime unmanned aerial vehicle imagery: Review and experimental comparisons</t>
  </si>
  <si>
    <t xml:space="preserve">With the advancement of maritime unmanned aerial vehicles (UAVs) and deep learning technologies, the application of UAV-based object detection has become increasingly significant in the fields of maritime industry and ocean engineering. Endowed with intelligent sensing capabilities, the maritime UAVs enable effective and efficient maritime surveillance. To further promote the development of maritime UAV-based object detection, this paper provides a comprehensive review of challenges, relative methods, and UAV aerial datasets. Specifically, in this work, we first briefly summarize four challenges for object detection on maritime UAVs, i.e., object feature diversity, device limitation, maritime environment variability, and dataset scarcity. We then focus on computational methods to improve maritime UAV-based object detection performance in terms of scale-aware, small object detection, view-aware, rotated object detection, lightweight methods, and others. Next, we review the UAV aerial image/video datasets and propose a maritime UAV aerial dataset named MS2ship for ship detection. Furthermore, we conduct a series of experiments to present the performance evaluation and robustness analysis of object detection methods on maritime datasets. Eventually, we give the discussion and outlook on future works for maritime UAV-based object detection. The MS2ship dataset is available at https://github.com/zcj234/MS2ship. © 2023 Elsevier Ltd</t>
  </si>
  <si>
    <t xml:space="preserve">Aerial datasets; Maritime industry; Maritime UAVs; Object detection; Unmanned aerial vehicle</t>
  </si>
  <si>
    <t xml:space="preserve">Engineering Applications of Artificial Intelligence</t>
  </si>
  <si>
    <t xml:space="preserve">10.1016/j.engappai.2023.107513</t>
  </si>
  <si>
    <t xml:space="preserve">2-s2.0-85177975447</t>
  </si>
  <si>
    <t xml:space="preserve">Cooperative Path Following Control of USV-UAVs Considering Low Design Complexity and Command Transmission Requirements</t>
  </si>
  <si>
    <t xml:space="preserve">This article investigates a robust cooperative path following control algorithm for an unmanned surface vessel and unmanned aerial vehicles (USV-UAVs) that releases the design complexity and command transmission requirements for the potential significance to implement a maritime square search mission. The latter is a classical search pattern suggested by the international aeronautical and maritime search and rescue (IAMSAR) manual. To program the reference signals for the USV-UAVs simultaneously, the reference routes are programmed that uses a virtual ship and a virtual aerial. Therein, the information of the virtual aerials can be mapped from a virtual ship. Further, the desired attitude angles are derived under the cooperative virtual guidance framework. For a control part, a novel threshold rule of the dynamic event-triggered mechanism is reconstructed according to output errors to avoid the artificial parameter tuning and reduce the data transmission load from the controllers to the actuators. Besides, a L-function is designed to eliminate an effect caused by the model nonlinearities and disturbances. This ensures a lower design complexity of the control system. The stability of the proposed control algorithm is proved via the Lyapunov theorem. Finally, the effectiveness and the reasonable are evaluated on the simulation platform.  © 2016 IEEE.</t>
  </si>
  <si>
    <t xml:space="preserve">Cooperative path following; dynamic event-triggered mechanism; model uncertainties; USV-UAV</t>
  </si>
  <si>
    <t xml:space="preserve">10.1109/TIV.2023.3317336</t>
  </si>
  <si>
    <t xml:space="preserve">2-s2.0-85173007879</t>
  </si>
  <si>
    <t xml:space="preserve">Adaptive collision avoidance strategy for USVs in perception-limited environments using dynamic priority guidance</t>
  </si>
  <si>
    <t xml:space="preserve">This paper proposes a dynamic adaptive priority guidance (DAPG) strategy for unmanned surface vehicles (USVs) to improve collision avoidance in dynamic maritime environments, particularly in unpredictable moving obstacles. Traditional local navigation methods often depend on fixed parameters within their cost functions, limiting adaptability. In contrast, the DAPG strategy integrates the strengths of multi-agent reinforcement learning (MARL) and multi-source information fusion strategy (MIFS). At a high level, the MARL-based algorithm dynamically adjusts fusion weights using neural networks, enabling the system to adapt flexibly to changing environments. At the low level, the MIFS algorithm processes these prioritized observations to generate the optimal navigation commands, ensuring safe and efficient navigation for each USV. The network is trained in a simulated dynamic environment using the parameter-sharing soft actor-critic (PSSAC) algorithm, enhanced with prioritized experience replay (PER) to accelerate learning. Experimental results show that the PSSAC-PER-MIFS algorithm significantly outperforms traditional reinforcement learning methods in convergence speed, reward stability, and navigation efficiency. Moreover, the DAPG strategy ensures compliance with COLREGs (International Regulations for Preventing Collisions at Sea), facilitating smooth and cooperative navigation in multi-USV scenarios. The source code is available at https://github.com/Shihong-Yin/PSSAC-PER-MI</t>
  </si>
  <si>
    <t xml:space="preserve">Cooperative collision avoidance; Dynamic adaptive priority guidance; Multi-source information fusion; Reinforcement learning; Unmanned surface vehicles</t>
  </si>
  <si>
    <t xml:space="preserve">Advanced Engineering Informatics</t>
  </si>
  <si>
    <t xml:space="preserve">10.1016/j.aei.2025.103355</t>
  </si>
  <si>
    <t xml:space="preserve">2-s2.0-105002316970</t>
  </si>
  <si>
    <t xml:space="preserve">Dynamic path planning for multi-USV in complex ocean environments with limited perception via proximal policy optimization</t>
  </si>
  <si>
    <t xml:space="preserve">This paper addresses the path planning problem for unmanned surface vehicles (USVs) under distributed control in dynamic maritime environments. A novel proximal policy optimization (PPO)-based algorithm is proposed to overcome the challenges posed by limited sensing capabilities and environmental variability. By integrating the reciprocal velocity obstacle method, the algorithm significantly improves obstacle avoidance efficiency while ensuring compliance with the International Regulations for Preventing Collisions at Sea (COLREGs). To address the sparse reward problem inherent in PPO algorithms, a customized reward mechanism is designed, and a bidirectional gated recurrent unit network is introduced to process variable-length observation data caused by dynamic obstacle scenarios. Extensive simulation results demonstrate that the proposed algorithm achieves notable advantages in convergence, robustness, and real-time decision-making. Furthermore, ablation and extended experiments validate the effectiveness and generalization capability of the algorithm, confirming that the multi-USV system can achieve safe, efficient, and COLREGs-compliant path planning in highly dynamic and complex environments. © 2025 Elsevier Ltd</t>
  </si>
  <si>
    <t xml:space="preserve">COLREGs; Multi-USV system; Path planning; Proximal policy optimization; Reciprocal velocity obstacle</t>
  </si>
  <si>
    <t xml:space="preserve">10.1016/j.oceaneng.2025.120907</t>
  </si>
  <si>
    <t xml:space="preserve">2-s2.0-86000637522</t>
  </si>
  <si>
    <t xml:space="preserve">Prescribed Performance Path Following Control of USVs via an Output-Based Threshold Rule</t>
  </si>
  <si>
    <t xml:space="preserve">In this article, a prescribed performance path following control algorithm is presented for underactuated surface vessels (USV) that uses an output-based threshold rule and a shifting function to execute parallel (also called lawn mowing) maritime search missions. The latter consist of classical search patterns suggested by the international aeronautical and maritime search and rescue (IAMSAR) manual. The proposed scheme comprises a guidance and a control module. In the guidance module, a limited boundary-based guidance principle is developed with a position threshold rule to avoid continuous computation of heading reference signals. Associated with the guidance signal, a novel dynamic event-triggered mechanism is derived by designing an output-based dynamic rule without fixed parameters, which has the potential to reduce unnecessary communication resource usage between the controllers and the actuator systems when compared with existing techniques. A shifting function is introduced to ensure that the path following error is within a prescribed region. This will ensure proper balance between communication burden and tracking accuracy in the closed-loop system. Semi-global uniform ultimate bounded (SGUUB) stability of the proposed control system is guaranteed using Lyapunov theory. The advantages and effectiveness of the proposal algorithm are shown via simulations. © 1967-2012 IEEE.</t>
  </si>
  <si>
    <t xml:space="preserve">event-triggered rule; neural networks; path following; prescribed performance control; USV</t>
  </si>
  <si>
    <t xml:space="preserve">10.1109/TVT.2023.3338518</t>
  </si>
  <si>
    <t xml:space="preserve">2-s2.0-85184799162</t>
  </si>
  <si>
    <t xml:space="preserve">Hybrid path planning method for USV using bidirectional A* and improved DWA considering the manoeuvrability and COLREGs</t>
  </si>
  <si>
    <t xml:space="preserve">This paper proposes a hybrid dynamic path planning algorithm that integrates global path planning (GPP) and local path planning (LPP). The objective is to effectively address the challenges associated with path planning and collision avoidance for unmanned surface vehicles (USV) in complex environments. The bidirectional A* algorithm is used to search the optimized strategy based on the actual geographical information map for the navigation routes of USV. The Dynamic Window Algorithm (DWA) is employed, and a novel cost function is formulated considering the USV's manoeuvring characteristics, dynamic constraints, and environmental information. The primary purpose is to ensure the compliance of the USV with COLREGs during dynamic obstacle avoidance. It accomplishes this by providing positive reinforcement for achieving the correct turning speed when the USV determines the orientation of an approaching ship. Another evaluation function is introduced to mitigate the problem of local optima in complex environments that the LPP may encounter. The actual work map is used to model the application scenario with the obstacles in the presence of incoming ships, the simulation results show that the proposed algorithm is capable of generating adaptive, collision-free routes while adhering to COLREGs rules. © 2024 The Authors</t>
  </si>
  <si>
    <t xml:space="preserve">Bidirectional A* algorithm; COLREGs; Dynamic window algorithm; Manoeuvrability; Unmanned surface vessel</t>
  </si>
  <si>
    <t xml:space="preserve">10.1016/j.oceaneng.2024.117210</t>
  </si>
  <si>
    <t xml:space="preserve">2-s2.0-85186267549</t>
  </si>
  <si>
    <t xml:space="preserve">ADE-MIFS: Real-time cooperative navigation for multi-USVs in dynamic maritime environments</t>
  </si>
  <si>
    <t xml:space="preserve">Distributed cooperative navigation of multiple unmanned surface vehicles (USVs) in dynamic maritime environments requires fusing heterogeneous perception and communication information while complying with COLREGs, under strict real-time constraints. Existing approaches often rely on fixed fusion weights or training-heavy learning frameworks, leading to degraded robustness as sensing or communication quality and fleet scale vary. This paper proposes an adaptive differential evolution-based multi-source information fusion strategy (ADE-MIFS), where a unified fusion representation integrates reciprocal velocity obstacles (RVO), COLREGs-compliant interaction constraints, laser range vectors (LRV), and goal-alignment (GA) cues, and the corresponding fusion weights are optimized automatically. An adaptive differential evolution optimizer with Thompson-sampling-based operator selection strategy is developed to balance exploration and exploitation. It improves global search efficiency without policy-network training via environment interactions. Extensive simulations with 5–20 USVs demonstrate that ADE-MIFS improves task success rate over DE-MIFS by 5.56%-24.14% as the scale increases, and outperforms other four advanced baselines (e.g., DADWA, PPO-RVO, PPO-ORCA, and IFDSDA) in both collision avoidance and navigation efficiency, while maintaining an average decision latency below 0.05 s for real-time deployment. © 2026 Elsevier Ltd. All rights are reserved, including those for text a</t>
  </si>
  <si>
    <t xml:space="preserve">Adaptive differential evolution; Collision avoidance; Multi-source information fusion; Path planning; Unmanned surface vehicles</t>
  </si>
  <si>
    <t xml:space="preserve">10.1016/j.oceaneng.2026.124487</t>
  </si>
  <si>
    <t xml:space="preserve">2-s2.0-105030869455</t>
  </si>
  <si>
    <t xml:space="preserve">Development of collision-case-based testing scenarios for validating autonomous ship collision-avoidance algorithms</t>
  </si>
  <si>
    <t xml:space="preserve">The criticality of collision-avoidance technology for ensuring safe navigation of autonomous ships necessitates diverse testing scenarios that reflect complex maritime environments. However, previous testing scenarios, often based on virtual trajectories or simplified encounters, have shown limitations in adequately representing real-world conditions. This study proposes a novel framework for developing collision-avoidance testing scenarios based on actual collision cases. The framework consists of three stages: collision case collection, trajectory extraction, and scenario development. Relevant data were extracted from selected cases, and the trajectories of ships influencing the collision were combined to reconstruct the circumstances at the time of the incident. Encounter situations were then diversified by altering the roles and positions of own and target ships, and finally systematically categorised into a structured testing set. Unlike previous testing scenarios, the developed scenarios exhibit distinctive characteristics derived from actual collision cases, including situations where navigation rules cannot be strictly applied, dynamic encounters, speed variations, and environmental conditions. By reflecting real maritime environments, these scenarios provide a solid basis for validating and improving collision-avoidance algorithms. The proposed framework is expected to contribute not only to the advancement of autonomous-ship technology but also to the enhancement of</t>
  </si>
  <si>
    <t xml:space="preserve">Actual collision; Autonomous ship; Collision-avoidance; Testing scenarios; Trajectory extraction</t>
  </si>
  <si>
    <t xml:space="preserve">Brodogradnja</t>
  </si>
  <si>
    <t xml:space="preserve">10.21278/brod77204</t>
  </si>
  <si>
    <t xml:space="preserve">2-s2.0-105030267988</t>
  </si>
  <si>
    <t xml:space="preserve">A human-like collision avoidance method for USVs based on deep reinforcement learning and velocity obstacle</t>
  </si>
  <si>
    <t xml:space="preserve">Collision avoidance is critical in unmanned surface vehicles (USVs) and is especially challenging in scenarios involving ships of different intelligence levels. To address this problem, inspired by risk analysis and collision avoidance habits of seafarers, this paper proposes a human-like collision avoidance method based on deep reinforcement learning (DRL) and velocity obstacle (VO). It first introduces a navigation impact factor (NIF) calculation module based on fuzzy theory to simulate human beings’ attention mechanisms when facing multiple ships. To be compatible with human beings’ regulations, the convention on the International Regulations for Preventing Collisions at Sea (COLREGs) is first to be integrated into the calculation of the NIF calculation module, and the VO algorithm is incorporated into the reward function, which can reduce collision risks in paths and improve safety requirements. In addition, a series of reward functions are carefully designed to balance safety, smoothness, and driving operation. To validate the performance, experiments are conducted on our virtual simulation platform. The results show that our algorithm can accurately assess the impact of target ships (TS) on own ship (OS) in complex environments and can obey the COLREGs. Collision avoidance can be achieved effectively and the path is smoother. © 2024 Elsevier Ltd</t>
  </si>
  <si>
    <t xml:space="preserve">COLREGs; Deep reinforcement learning; Obstacle avoidance; Safety path; Unmanned surface vehicles; Velocity obstacle</t>
  </si>
  <si>
    <t xml:space="preserve">10.1016/j.eswa.2024.124388</t>
  </si>
  <si>
    <t xml:space="preserve">2-s2.0-85195270511</t>
  </si>
  <si>
    <t xml:space="preserve">Deep bi-directional information-empowered ship trajectory prediction for maritime autonomous surface ships</t>
  </si>
  <si>
    <t xml:space="preserve">It is critical to have accurate ship trajectory prediction for collision avoidance and intelligent traffic management of manned ships and emerging Maritime Autonomous Surface Ships (MASS). Deep learning methods for accurate prediction based on AIS data have emerged as a contemporary maritime transportation research focus. However, concerns about its accuracy and computational efficiency widely exist across both academic and industrial sectors, necessitating the discovery of new solutions. This paper aims to develop a new prediction approach called Deep Bi-Directional Information-Empowered (DBDIE) by utilising integrated multiple networks and an attention mechanism to address the above issues. The new DBDIE model extracts valuable features by fusing the Bi-directional Long Short-Term Memory (Bi-LSTM) and the Bi-directional Gated Recurrent Unit (Bi-GRU) neural networks. Additionally, the weights of the two bi-directional units are optimised using an attention mechanism, and the final prediction results are obtained through a weight self-adjustment mechanism. The effectiveness of the proposed model is verified through comprehensive comparisons with state-of-the-art deep learning methods, including Recurrent Neural Network (RNN), Long Short-Term Memory (LSTM), Gated Recurrent Unit (GRU), Bi-LSTM, Bi-GRU, Sequence to Sequence (Seq2Seq), and Transformer neural networks. The experimental results demonstrate that the new DBDIE model achieves the most satisfactory prediction outcomes </t>
  </si>
  <si>
    <t xml:space="preserve">AIS data; Integrated networks; Maritime Autonomous Surface Ships (MASS); Maritime safety; Ship trajectory prediction</t>
  </si>
  <si>
    <t xml:space="preserve">10.1016/j.tre.2023.103367</t>
  </si>
  <si>
    <t xml:space="preserve">2-s2.0-85178995898</t>
  </si>
  <si>
    <t xml:space="preserve">Game-Based Event-Triggered Control for Unmanned Surface Vehicle: Algorithm Design and Harbor Experiment</t>
  </si>
  <si>
    <t xml:space="preserve">To improve the trajectory tracking performance of unmanned surface vehicle (USV), this article investigates the USV optimal control problem with the consideration of actuator wear. In the proposed algorithm, the USV control system is divide into kinematic subsystem and kinetic subsystem. In particular, corresponding performance indexes that looking forward to be optimized are defined for each subsystem. The related value functions, Hamilton-Jacobi–Bellman equations and optimal control policies are approximated by actor-critic neural networks. To reduce the wear of propeller and rudder, the event-triggered problem is considered as a zero-sum game solving problem, where the best control inputs and worst thresholds are delivered via minmax strategy. Also, the nonlinear uncertainties of the USV are approximated and environment disturbances are compensated in the value functions for better control performance. The USV closed-loop control system is proved semi-globally uniformly ultimately bounded stability via Lyapunov theory. Finally, a simulation case and harbor experiment are illustrated to verify the superiorities and engineering application values of the proposed algorithm. © 2013 IEEE.</t>
  </si>
  <si>
    <t xml:space="preserve">Differential game; event-triggered control; minmax strategy; optimal control; unmanned surface vehicle (USV); zero-sum game</t>
  </si>
  <si>
    <t xml:space="preserve">IEEE Transactions on Cybernetics</t>
  </si>
  <si>
    <t xml:space="preserve">10.1109/TCYB.2025.3556042</t>
  </si>
  <si>
    <t xml:space="preserve">2-s2.0-105002781569</t>
  </si>
  <si>
    <t xml:space="preserve">Hybrid path planning for USV with kinematic constraints and COLREGS based on improved APF-RRT and DWA</t>
  </si>
  <si>
    <t xml:space="preserve">Intelligent algorithms are increasingly employed to optimize the ship path planning, ensuring safe navigation and preventing potential collisions. This paper proposes a hybrid path planning approach that incorporates kinematic constraints, which includes both global and local path planning. Firstly, the Artificial Potential Field (APF) is utilized to guide node growth, allowing the Rapidly-exploring Random Tree (RRT) to more efficiently navigate through multi-obstacle areas. To enhance the robustness of the algorithm, the gravitational coefficient optimization method and dynamic step-size strategy are introduced. Additionally, a novel RRT termination method is proposed to accelerate search speed by either using the node that satisfies the termination criteria as the last path point or by inserting a new node to fulfill all constraints. Furthermore, building upon the Dynamic Window Algorithm (DWA), a turning function based on maritime rules and the Collision Risk Index (CRI) are incorporated. New cost functions are established accordingly for different types of obstacles. The results from simulation experiments demonstrate the superior performance of the proposed method. The enhanced global path planning algorithm improves the efficiency of global path acquisition in diverse environments. Moreover, the proposed local path planning algorithm can accurately assess and respond to different scenarios and performs better than the traditional method in collision avoidance. © 2024 El</t>
  </si>
  <si>
    <t xml:space="preserve">Artificial potential field algorithm; Collision avoidance; COLREGS; Dynamic window algorithm; Rapidly-exploring random tree; Unmanned surface vehicle</t>
  </si>
  <si>
    <t xml:space="preserve">10.1016/j.oceaneng.2024.120128</t>
  </si>
  <si>
    <t xml:space="preserve">2-s2.0-85212926978</t>
  </si>
  <si>
    <t xml:space="preserve">SSGNet: A single-source generalization model for ship detection in UAV imagery under challenging maritime environments</t>
  </si>
  <si>
    <t xml:space="preserve">Enhancing the flexibility of deep learning models for ship detection is essential to ensure reliable performance under challenging maritime environments. Existing UAV-based models often struggle with varying scenarios, environmental conditions, and ship orientations, limiting practical applicability. This study proposes a novel single-source generalization model for ship detection using UAV imagery. The model combines two key components: i) a domain-generalization training dataset generated through advanced 3D modeling and rendering, preserving structural and morphological ship characteristics while minimizing domain-specific features such as color and texture to extract geometric and spatial attributes as generalizable features; and ii) a one-stage deep neural detector designed for UAV imagery. The detector integrates hierarchical attentional contrastive learning to capture generalizable features across multiple scales and an adaptive morphological consistency loss to ensure stable shape and size representation. Experimental results demonstrate superior adaptability compared with state-of-the-art methods, achieving an mAP50 of 94.3 % across unseen harbors, coastal, and open-sea scenes, with an F1-score of 90.8 %. The model also maintains strong mAP50 performance under fog/rain (79.3 %) and low-light (79.9 %) conditions. Overall, the proposed framework offers a scalable, domain-generalized solution for UAV-based ship detection following a “train once, deploy anywhere” princip</t>
  </si>
  <si>
    <t xml:space="preserve">Generalizable features; Geometric feature learning; Maritime environments; Ship detection; Synthetic imagery; UAV imagery</t>
  </si>
  <si>
    <t xml:space="preserve">10.1016/j.oceaneng.2025.124120</t>
  </si>
  <si>
    <t xml:space="preserve">2-s2.0-105027266698</t>
  </si>
  <si>
    <t xml:space="preserve">ground</t>
  </si>
  <si>
    <t xml:space="preserve">Applications of Artificial Intelligence and Machine learning in smart cities</t>
  </si>
  <si>
    <t xml:space="preserve">Smart cities are aimed to efficiently manage growing urbanization, energy consumption, maintain a green environment, improve the economic and living standards of their citizens, and raise the people's capabilities to efficiently use and adopt the modern information and communication technology (ICT). In the smart cities concept, ICT is playing a vital role in policy design, decision, implementation, and ultimate productive services. The primary objective of this review is to explore the role of artificial intelligence (AI), machine learning (ML), and deep reinforcement learning (DRL) in the evolution of smart cities. The preceding techniques are efficiently used to design optimal policy regarding various smart city-oriented complex problems. In this survey, we present in-depth details of the applications of the prior techniques in intelligent transportation systems (ITSs), cyber-security, energy-efficient utilization of smart grids (SGs), effective use of unmanned aerial vehicles (UAVs) to assure the best services of 5G and beyond 5G (B5G) communications, and smart health care system in a smart city. Finally, we present various research challenges and future research directions where the aforementioned techniques can play an outstanding role to realize the concept of a smart city. © 2020 Elsevier B.V.</t>
  </si>
  <si>
    <t xml:space="preserve">5G and B5G communication; Cyber-security; Intelligent Transportation System; Internet of Things; mmWave communication; Smart city; Smart grids; UAVs</t>
  </si>
  <si>
    <t xml:space="preserve">Review</t>
  </si>
  <si>
    <t xml:space="preserve">10.1016/j.comcom.2020.02.069</t>
  </si>
  <si>
    <t xml:space="preserve">2-s2.0-85080112471</t>
  </si>
  <si>
    <t xml:space="preserve">Urban Traffic Monitoring and Analysis Using Unmanned Aerial Vehicles (UAVs): A Systematic Literature Review</t>
  </si>
  <si>
    <t xml:space="preserve">Unmanned aerial vehicles (UAVs) are gaining considerable interest in transportation engineering in order to monitor and analyze traffic. This systematic review surveys the scientific contributions in the application of UAVs for civil engineering, especially those related to traffic monitoring. Following the PRISMA framework, 34 papers were identified in five scientific databases. First, this paper introduces previous works in this field. In addition, the selected papers were analyzed, and some conclusions were drawn to complement the findings. It can be stated that this is still a field in its infancy and that progress in advanced image processing techniques and technologies used in the construction of UAVs will lead to an explosion in the number of applications, which will result in increased benefits for society, reducing unpleasant situations, such as congestion and collisions in major urban centers of the world. © 2022 by the authors. Licensee MDPI, Basel, Switzerland.</t>
  </si>
  <si>
    <t xml:space="preserve">Civil engineering; Traffic monitoring; UAV</t>
  </si>
  <si>
    <t xml:space="preserve">10.3390/rs14030620</t>
  </si>
  <si>
    <t xml:space="preserve">2-s2.0-85123865917</t>
  </si>
  <si>
    <t xml:space="preserve">A survey of applications of artificial intelligence and machine learning in future mobile networks-enabled systems</t>
  </si>
  <si>
    <t xml:space="preserve">Different fields have been thriving with the advents in mobile communication systems in recent years. These fields reap benefits of data collected by Internet of Things (IoT) in next generation (5G and 5BG) mobile networks. The IoT concept transforms different fields by providing large amount of data to be used in their operations. This is achieved by massively utilized sensors and mobile devices that acquire data from internet connected devices to keep track of physical systems. Hence, different use cases benefit from the data generated thanks to future mobile network systems. Intelligent Transportation Systems, Smart Energy, Digital Twins, Unmanned Aerial Vehicles (UAVs), Smart Health, Cyber Security are of significant use cases that big data plays an important role for them. Large amount of data entails more intelligent systems with respect to conventional methods, and it also entails highly reduced response time for use cases. Artificial intelligence and machine learning models are adept in satisfying the requirements of this big data situations for different use cases. In this sense, this paper provides a survey of machine learning and artificial intelligence applications for different use cases enabled by future mobile communication systems. An overview of machine learning types and artificial intelligence is presented to provide insights into the intelligent method concepts. Available studies are extensively summarized, and they are also grouped to provide a complete o</t>
  </si>
  <si>
    <t xml:space="preserve">5G; 6G; Cyber security; Deep learning; Digital twin; Intelligent transportation systems; Reinforcement learning; Smart energy; Smart healthcare; Supervised learning; Unmanned Aerial Vehicle (UAV); Unsupervised learning</t>
  </si>
  <si>
    <t xml:space="preserve">Engineering Science and Technology, an International Journal</t>
  </si>
  <si>
    <t xml:space="preserve">10.1016/j.jestch.2023.101455</t>
  </si>
  <si>
    <t xml:space="preserve">2-s2.0-85161983368</t>
  </si>
  <si>
    <t xml:space="preserve">Drone noise emission characteristics and noise effects on humans—a systematic review</t>
  </si>
  <si>
    <t xml:space="preserve">The number of operations of Unmanned Aerial Vehicles (UAV), commonly referred to as “drones”, has strongly increased in the past and is likely to further grow in the future. Therefore, drones are becoming a growing new source of environmental noise pollution, and annoyance reactions to drone noise are likely to occur in an increasing share of the population. To date, research on drone noise emission characteristics, and in particular also on health impacts, seems scarce, but systematic overviews on these topics are missing. The objective of this study was to establish a systematic literature review on drone noise emissions and noise effects on humans. The paper presents the methodology of the systematic reviews performed separately for noise emission and noise effects, assembles current literature, gives an overview on the state of knowledge, and identifies research gaps. Current literature suggests that drone noise is substantially more annoying than road traffic or aircraft noise due to special acoustic characteristics such as pure tones and high-frequency broadband noise. A range of open questions remains to be tackled by future studies. © 2021 by the authors. Licensee MDPI, Basel, Switzerland.</t>
  </si>
  <si>
    <t xml:space="preserve">Annoyance; Drones; Multicopter; Noise effects; Noise emission; Perception; UAS; UAV</t>
  </si>
  <si>
    <t xml:space="preserve">International Journal of Environmental Research and Public Health</t>
  </si>
  <si>
    <t xml:space="preserve">10.3390/ijerph18115940</t>
  </si>
  <si>
    <t xml:space="preserve">2-s2.0-85106907845</t>
  </si>
  <si>
    <t xml:space="preserve">Advances of UAVs toward Future Transportation: The State-of-the-Art, Challenges, and Opportunities</t>
  </si>
  <si>
    <t xml:space="preserve">The adoption of Unmanned Aerial Vehicles (UAVs) in numerous sectors is projected to grow exponentially in the future as technology advances and regulation evolves. One of the promising applications of UAVs is in transportation systems. As the current transportation system is moving towards Intelligent Transportation Systems (ITS), UAVs will play a significant role in the functioning of ITS. This paper presents a survey on the recent advances of UAVs and their roles in current and future transportation systems. Moreover, the emerging technologies of UAVs in the transportation section and the current research areas are summarized. From the discussion, the challenges and opportunities of integrating UAVs towards future ITS are highlighted. In addition, some of the potential research areas involving UAVs in future ITS are also identified. This study aims to lay a foundation for the development of future intelligent and resilient transportation systems. © 2021 by the authors.</t>
  </si>
  <si>
    <t xml:space="preserve">drone; future transportation; intelligent transportation systems; ITS; Unmanned Aerial Vehicles (UAV)</t>
  </si>
  <si>
    <t xml:space="preserve">Future Transportation</t>
  </si>
  <si>
    <t xml:space="preserve">10.3390/futuretransp1020019</t>
  </si>
  <si>
    <t xml:space="preserve">2-s2.0-85123854843</t>
  </si>
  <si>
    <t xml:space="preserve">air</t>
  </si>
  <si>
    <t xml:space="preserve">Advances and Challenges in Drone Detection and Classification Techniques: A State-of-the-Art Review</t>
  </si>
  <si>
    <t xml:space="preserve">The fast development of unmanned aerial vehicles (UAVs), commonly known as drones, has brought a unique set of opportunities and challenges to both the civilian and military sectors. While drones have proven useful in sectors such as delivery, agriculture, and surveillance, their potential for abuse in illegal airspace invasions, privacy breaches, and security risks has increased the demand for improved detection and classification systems. This state-of-the-art review presents a detailed overview of current improvements in drone detection and classification techniques: highlighting novel strategies used to address the rising concerns about UAV activities. We investigate the threats and challenges faced due to drones’ dynamic behavior, size and speed diversity, battery life, etc. Furthermore, we categorize the key detection modalities, including radar, radio frequency (RF), acoustic, and vision-based approaches, and examine their distinct advantages and limitations. The research also discusses the importance of sensor fusion methods and other detection approaches, including wireless fidelity (Wi-Fi), cellular, and Internet of Things (IoT) networks, for improving the accuracy and efficiency of UAV detection and identification. © 2023 by the authors.</t>
  </si>
  <si>
    <t xml:space="preserve">acoustic; deep learning based UAV identification; detection technologies; drone classification; drone detection; drone identification; drone incidents; drone localization; drone threats; machine learning based drone detection; radar; radio frequency (RF); sensor fusion; UAV classification; UAV detection; UAV identification; unmanned aerial vehicles (UAVs); visual</t>
  </si>
  <si>
    <t xml:space="preserve">10.3390/s24010125</t>
  </si>
  <si>
    <t xml:space="preserve">2-s2.0-85181886925</t>
  </si>
  <si>
    <t xml:space="preserve">Deep learning for unmanned aerial vehicles detection: A review</t>
  </si>
  <si>
    <t xml:space="preserve">As a new type of aerial robotics, drones are easy to use and inexpensive, which has facilitated their acquisition by individuals and organizations. This unequivocal and widespread presence of amateur drones may cause many dangers, such as privacy breaches by reaching sensitive locations of authorities and individuals. In this paper, we summarize the performance-affecting factors and major obstacles to drone use and provide a brief background of deep learning. Then, we summarize the types of UAVs and the related unethical behaviors, safety, privacy, and cybersecurity concerns. Then, we present a comprehensive literature review of current drone detection methods based on deep learning. This area of research has arisen in the last two decades because of the rapid advancement of commercial and recreational drones and their combined risk to the safety of airspace. Various deep learning algorithms and their frameworks with respect to the techniques used to detect drones and their areas of applications are also discussed. Drone detection techniques are classified into four categories: visual, radar, acoustics, and radio frequency-based approaches. The findings of this study prove that deep learning-based detection and classification of drones looks promising despite several challenges. Finally, we provide some recommendations to meet future expectations. © 2023 Elsevier Inc.</t>
  </si>
  <si>
    <t xml:space="preserve">Convolutional neural network; Deep learning; Drone detection; Recurrent neural network; Unmanned aerial vehicle</t>
  </si>
  <si>
    <t xml:space="preserve">Computer Science Review</t>
  </si>
  <si>
    <t xml:space="preserve">10.1016/j.cosrev.2023.100614</t>
  </si>
  <si>
    <t xml:space="preserve">2-s2.0-85184656031</t>
  </si>
  <si>
    <t xml:space="preserve">A Comprehensive Survey of Unmanned Aerial Vehicles Detection and Classification Using Machine Learning Approach: Challenges, Solutions, and Future Directions</t>
  </si>
  <si>
    <t xml:space="preserve">Autonomous unmanned aerial vehicles (UAVs) have several advantages in various fields, including disaster relief, aerial photography and videography, mapping and surveying, farming, as well as defense and public usage. However, there is a growing probability that UAVs could be misused to breach vital locations such as airports and power plants without authorization, endangering public safety. Because of this, it is critical to accurately and swiftly identify different types of UAVs to prevent their misuse and prevent security issues arising from unauthorized access. In recent years, machine learning (ML) algorithms have shown promise in automatically addressing the aforementioned concerns and providing accurate detection and classification of UAVs across a broad range. This technology is considered highly promising for UAV systems. In this survey, we describe the recent use of various UAV detection and classification technologies based on ML and deep learning (DL) algorithms. Four types of UAV detection and classification technologies based on ML are considered in this survey: radio frequency-based UAV detection, visual data (images/video)-based UAV detection, acoustic/sound-based UAV detection, and radar-based UAV detection. Additionally, this survey report explores hybrid sensor- and reinforcement learning-based UAV detection and classification using ML. Furthermore, we consider method challenges, solutions, and possible future research directions for ML-based UAV detection.</t>
  </si>
  <si>
    <t xml:space="preserve">deep learning-based detection; machine learning-based detection; UAV detection and classification</t>
  </si>
  <si>
    <t xml:space="preserve">10.3390/rs16050879</t>
  </si>
  <si>
    <t xml:space="preserve">2-s2.0-85187786264</t>
  </si>
  <si>
    <t xml:space="preserve">UAV Positioning Using GNSS: A Review of the Current Status</t>
  </si>
  <si>
    <t xml:space="preserve">Highlights: What are the main findings? Platform constraints: UAV GNSS performance is dominated by platform dynamics, including vibration, rapid attitude changes, and high dynamics, together with stringent SWaP limitations, rather than by atmospheric modeling errors alone. Technique trade-offs: RTK and PPK provide centimeter-level accuracy for surveying, whereas PPP and PPP RTK enable infrastructure light operation but are practically constrained by long convergence relative to typical UAV mission durations. What are the implications of the main findings? Scenario-driven architectures: A modular fusion framework that uses GNSS and IMU as the backbone and integrates vision, LiDAR, and signals of opportunity supports robust switching between absolute and relative navigation in urban and GNSS challenged conditions. Integrity-oriented roadmap: Safety-critical UAM requires a shift from accuracy-centric evaluation to UAV-specific integrity, multi-layer PNT that combines GNSS, LEO, and terrestrial signals, and AI-assisted signal processing with verifiability and explainability. Accurate and robust positioning is a critical enabler for Unmanned Aerial Vehicle (UAV) applications, ranging from mapping and inspection to emerging Urban Air Mobility (UAM). While Global Navigation Satellite Systems (GNSS) remain the backbone of absolute positioning, their performance is severely constrained by UAV platform characteristics and complex low-altitude environments. This paper presents a system-</t>
  </si>
  <si>
    <t xml:space="preserve">challenges; GNSS; multi-sensor fusion; UAVs</t>
  </si>
  <si>
    <t xml:space="preserve">10.3390/drones10020091</t>
  </si>
  <si>
    <t xml:space="preserve">2-s2.0-105031053385</t>
  </si>
  <si>
    <t xml:space="preserve">Unmanned Aircraft Systems (UASs): Current State, Emerging Technologies, and Future Trends</t>
  </si>
  <si>
    <t xml:space="preserve">Unmanned aircraft, commonly referred to as drones, represent a valuable alternative for various operational tasks due to their versatility, flexibility, cost-effectiveness, and reusability. These features make them particularly advantageous in environments that are hazardous or inaccessible to humans. Recent developments have highlighted a significant increase in the use of unmanned aircraft within metropolitan areas. This growth has necessitated the implementation of new regulations and guidelines to ensure the safe integration of UAS into urban environments. Consequently, the concept of UAM has emerged. UAM refers to an innovative air transportation paradigm designed for both passengers and cargo within urban settings, leveraging the capabilities of drones. This review manuscript explores the latest advancements for UAS, focusing on updated regulations, definitions, enabling technologies, and airspace classifications relevant to UAM operations. Additionally, it provides a comprehensive overview of unmanned aircraft systems, including their classifications, key features, and primary applications. © 2025 by the authors.</t>
  </si>
  <si>
    <t xml:space="preserve">drones; sensors; smart city; U-space; UAS; UAV; unmanned system; urban air mobility (UAM); UTM</t>
  </si>
  <si>
    <t xml:space="preserve">10.3390/drones9010059</t>
  </si>
  <si>
    <t xml:space="preserve">2-s2.0-85216003499</t>
  </si>
  <si>
    <t xml:space="preserve">maritime</t>
  </si>
  <si>
    <t xml:space="preserve">Small object detection: A comprehensive survey on challenges, techniques and real-world applications</t>
  </si>
  <si>
    <t xml:space="preserve">Small object detection (SOD) is a critical yet challenging task in computer vision, with applications like spanning surveillance, autonomous systems, medical imaging, and remote sensing. Unlike larger objects, small objects contain limited spatial and contextual information, making accurate detection difficult. Challenges such as low resolution, occlusion, background interference, and class imbalance further complicate the problem. This survey provides a comprehensive review of recent advancements in SOD using deep learning, focusing on articles published in Q1 journals during 2024–2025. We analyzed challenges, state-of-the-art techniques, datasets, evaluation metrics, and real-world applications. Recent advancements in deep learning have introduced innovative solutions, including multi-scale feature extraction, super-resolution (SR) techniques, attention mechanisms, and transformer-based architectures. Additionally, improvements in data augmentation, synthetic data generation, and transfer learning have addressed data scarcity and domain adaptation issues. Furthermore, emerging trends such as lightweight neural networks, knowledge distillation (KD), and self-supervised learning offer promising directions for improving detection efficiency, particularly in resource-constrained environments like Unmanned Aerial Vehicles (UAV)-based surveillance and edge computing. For example, several methods highlight the practical impact of architectural advances in SOD. FFCA-YOLO achieves A</t>
  </si>
  <si>
    <t xml:space="preserve">Computer vision; Deep learning; Small object detection; Survey</t>
  </si>
  <si>
    <t xml:space="preserve">Intelligent Systems with Applications</t>
  </si>
  <si>
    <t xml:space="preserve">10.1016/j.iswa.2025.200561</t>
  </si>
  <si>
    <t xml:space="preserve">2-s2.0-105012613409</t>
  </si>
  <si>
    <t xml:space="preserve">A survey of maritime unmanned search system: Theory, applications and future directions</t>
  </si>
  <si>
    <t xml:space="preserve">The rising frequency of ocean activities, such as ocean transportation and marine resources development, inevitably leads to a higher incidence of sudden accidents at sea. Maritime search and rescue (MSAR) plays a crucial role in marine transportation. Specifically, maritime search serves as a preparatory mission before executing the actual rescue operations. In 2018, the International Maritime Organization (IMO) made significant legal amendments to the international convention for the Safety of Life at Sea (SOLAS), emphasizing the critical importance of MSAR operations. Nevertheless, the conventional maritime search systems, such as independent surface ships, underwater vehicles, or aerial platforms, fall short of meeting the demands of modern shipping and can impose significant energy and economic burdens. Meanwhile, unmanned systems are gaining prominence in maritime search due to their notable advantages, including high efficiency, cost-effectiveness, and rapid deployment. One observes that the research of unmanned maritime search is still in an early stage. This paper provides a comprehensive survey of the state of the art of maritime unmanned search system development with four dimensions, including the unmanned aerial vehicle (UAV), unmanned surface vessel (USV) and underwater unmanned vehicle (UUV) and its cooperative heterogeneous vehicles. Firstly, the search types, the superiorities and the application scenarios of the unmanned search system are summarized. Then, t</t>
  </si>
  <si>
    <t xml:space="preserve">Autonomous guidance and control; Cooperative unmanned systems; Maritime unmanned search system; Underwater unmanned vehicle; Unmanned aerial vehicle; Unmanned surface vessel</t>
  </si>
  <si>
    <t xml:space="preserve">10.1016/j.oceaneng.2023.115359</t>
  </si>
  <si>
    <t xml:space="preserve">2-s2.0-85166678081</t>
  </si>
  <si>
    <t xml:space="preserve">Research on risk, safety, and reliability of autonomous ships: A bibliometric review</t>
  </si>
  <si>
    <t xml:space="preserve">The safety and reliability of autonomous ships are critical for the successful realization of an autonomous maritime ecosystem. Research and collaboration between governments, industry, and academia are vital in achieving this goal. This paper conducts a bibliometric review of the research on the risk, safety, and reliability of autonomous ships aiming to provide researchers and maritime stakeholders with a structured overview of the topics, development trends, and collaboration networks in this research field. 417 papers published between 2011 and 2022 were identified covering 940 authors, 31 countries, and 227 journals. Three main themes were determined in this research domain: “safety engineering and risk assessment for decision making”, “navigation safety and collision avoidance”, and “cybersecurity risk analysis”. Meanwhile, it was identified that research on cybersecurity in autonomous shipping is moving to overlap with safety, which requires future co-analysis methods. Additionally, the analysis of the most cited 30 papers suggests that further research is needed in the topics of unmanned machinery operation risks, online risk tools, system-theoretic safety analysis, human factor, and the determination of suitable risk acceptance criteria for safety assessment of autonomous ships. Furthermore, the analysis revealed that the development of unambiguous COLREGs regulation is crucial for the development of safe collision avoidance algorithms for MASS. It was identified tha</t>
  </si>
  <si>
    <t xml:space="preserve">Cyber Security; Literature Review; MASS; Policymaking; Reliability; Safety</t>
  </si>
  <si>
    <t xml:space="preserve">10.1016/j.ssci.2023.106256</t>
  </si>
  <si>
    <t xml:space="preserve">2-s2.0-85165630083</t>
  </si>
  <si>
    <t xml:space="preserve">Weed detection based on deep learning from UAV imagery: A review</t>
  </si>
  <si>
    <t xml:space="preserve">Weeds are undesirable plants that compete with crops for essential resources such as light, soil, water, and nutrients. Additionally, they can harbor pests that reduce crop yields. In traditional agriculture, weed control is based on applying pesticides throughout the agricultural field, resulting in soil damage, environmental contamination, damage to farm products, and risks to human health. Precision agriculture (PA) has evolved in recent years thanks to sensors, hardware, software, and innovations in unmanned aerial vehicle (UAV) systems. These systems aim to improve the localized application of chemicals in weed control by using advanced image analysis techniques, computer vision, deep learning (DL), and geo-positioning (GPS) to detect and recognize weeds. This subsequently facilitates the implementation of specific control mechanisms in real environments. Recently, automatic weed detection techniques have been developed using UAV imagery. However, these face a significant challenge due to the morphological similarities between weeds and crops, such as color, shape, and texture, which makes their practical and effective differentiation and implementation difficult. This paper presents a systematic literature review (SLR) based on 77 recent and relevant studies on weed detection and classification in UAV imagery using DL architectures. The analysis focuses on key aspects such as using UAVs and sensors, image acquisition and processing, DL architecture, and evaluation metri</t>
  </si>
  <si>
    <t xml:space="preserve">Deep learning; Precision agriculture; SLR; UAV images; Weed detection; Weed mapping</t>
  </si>
  <si>
    <t xml:space="preserve">Smart Agricultural Technology</t>
  </si>
  <si>
    <t xml:space="preserve">10.1016/j.atech.2025.101147</t>
  </si>
  <si>
    <t xml:space="preserve">2-s2.0-105009931944</t>
  </si>
  <si>
    <t xml:space="preserve">Hazard identification and risk analysis of maritime autonomous surface ships: A systematic review and future directions</t>
  </si>
  <si>
    <t xml:space="preserve">Despite the progress in autonomous ship technology, unknown risks persist in the design, operation, and regulation of maritime autonomous surface ships. A comprehensive literature review for hazard identification and risk analysis method of maritime autonomous surface ships is currently lacking. Based on a database of 62 relevant literatures, this study presents the distribution of relevant literatures by journal, year of publication, country or region of authorship, and institution. To gain further insights into the research hotpots and the frequently neglected risk influential factors, the literatures are classified into four groups based on the categories of risk influential factors, and a comprehensive list of risk influential factors is compiled. Based on this, the research content is analysed with respect to human factors, ship-related factors, environmental factors, and technology factors. Furthermore, statistical analysis is conducted on 23 literatures related to systematic risk analysis of maritime autonomous surface ships in terms of data sources and risk analysis methods, noting that researchers commonly utilize datasets and a combination of risk analysis methods. This study not only contributes to the understanding of the current status and challenges in hazard identification and risk analysis of maritime autonomous surface ships but also provides potential future research directions. © 2024 The Authors</t>
  </si>
  <si>
    <t xml:space="preserve">Hazard identification; Maritime autonomous surface ships; Maritime safety; Maritime transportation; Risk analysis</t>
  </si>
  <si>
    <t xml:space="preserve">10.1016/j.oceaneng.2024.118174</t>
  </si>
  <si>
    <t xml:space="preserve">2-s2.0-85193822001</t>
  </si>
  <si>
    <t xml:space="preserve">Stage</t>
  </si>
  <si>
    <t xml:space="preserve">Note</t>
  </si>
  <si>
    <t xml:space="preserve">Scopus export</t>
  </si>
  <si>
    <t xml:space="preserve">Records as exported (air split in two year halves)</t>
  </si>
  <si>
    <t xml:space="preserve">Unique within domain</t>
  </si>
  <si>
    <t xml:space="preserve">Air halves overlapped in 2022</t>
  </si>
  <si>
    <t xml:space="preserve">Author-text term filter</t>
  </si>
  <si>
    <t xml:space="preserve">Platform and domain terms required in title, abstract or author keywords (Scopus index terms ignored)</t>
  </si>
  <si>
    <t xml:space="preserve">Title exclusion re-applied</t>
  </si>
  <si>
    <t xml:space="preserve">Out-of-scope title terms</t>
  </si>
  <si>
    <t xml:space="preserve">After cross-domain dedup</t>
  </si>
  <si>
    <t xml:space="preserve">Assigned to domain with most term matches; ties to smaller domain</t>
  </si>
  <si>
    <t xml:space="preserve">Eligible, 2016–2023 (core pool)</t>
  </si>
  <si>
    <t xml:space="preserve">Eligible, 2024–2026 (recent pool)</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</si>
</sst>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i val="true"/>
      <sz val="9"/>
      <name val="Arial"/>
      <family val="0"/>
      <charset val="1"/>
    </font>
    <font>
      <sz val="10"/>
      <color rgb="FF0000FF"/>
      <name val="Arial"/>
      <family val="0"/>
      <charset val="1"/>
    </font>
  </fonts>
  <fills count="4">
    <fill>
      <patternFill patternType="none"/>
    </fill>
    <fill>
      <patternFill patternType="gray125"/>
    </fill>
    <fill>
      <patternFill patternType="solid">
        <fgColor rgb="FFD9D9D9"/>
        <bgColor rgb="FFE2EFDA"/>
      </patternFill>
    </fill>
    <fill>
      <patternFill patternType="solid">
        <fgColor rgb="FFFFF2CC"/>
        <bgColor rgb="FFE2EFDA"/>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9D9D9"/>
          <bgColor rgb="FF000000"/>
        </patternFill>
      </fill>
    </dxf>
    <dxf>
      <fill>
        <patternFill patternType="solid">
          <bgColor rgb="FF000000"/>
        </patternFill>
      </fill>
    </dxf>
    <dxf>
      <fill>
        <patternFill patternType="solid">
          <fgColor rgb="FFFFF2CC"/>
          <bgColor rgb="FF000000"/>
        </patternFill>
      </fill>
    </dxf>
    <dxf>
      <fill>
        <patternFill>
          <bgColor rgb="FFE2EFDA"/>
        </patternFill>
      </fill>
    </dxf>
    <dxf>
      <font>
        <name val="Arial"/>
        <charset val="1"/>
        <family val="0"/>
        <color rgb="FF999999"/>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doi.org/10.1109/ITSC.2018.8569552" TargetMode="External"/><Relationship Id="rId2" Type="http://schemas.openxmlformats.org/officeDocument/2006/relationships/hyperlink" Target="https://doi.org/10.1109/TCSVT.2022.3168279" TargetMode="External"/><Relationship Id="rId3" Type="http://schemas.openxmlformats.org/officeDocument/2006/relationships/hyperlink" Target="https://doi.org/10.1109/JPROC.2022.3173031" TargetMode="External"/><Relationship Id="rId4" Type="http://schemas.openxmlformats.org/officeDocument/2006/relationships/hyperlink" Target="https://doi.org/10.1109/MCOM.2017.1600238CM" TargetMode="External"/><Relationship Id="rId5" Type="http://schemas.openxmlformats.org/officeDocument/2006/relationships/hyperlink" Target="https://doi.org/10.1109/TITS.2023.3275741" TargetMode="External"/><Relationship Id="rId6" Type="http://schemas.openxmlformats.org/officeDocument/2006/relationships/hyperlink" Target="https://doi.org/10.1016/j.tra.2020.09.018" TargetMode="External"/><Relationship Id="rId7" Type="http://schemas.openxmlformats.org/officeDocument/2006/relationships/hyperlink" Target="https://doi.org/10.1109/IV47402.2020.9304839" TargetMode="External"/><Relationship Id="rId8" Type="http://schemas.openxmlformats.org/officeDocument/2006/relationships/hyperlink" Target="https://doi.org/10.1109/TITS.2020.3041746" TargetMode="External"/><Relationship Id="rId9" Type="http://schemas.openxmlformats.org/officeDocument/2006/relationships/hyperlink" Target="https://doi.org/10.1016/j.trc.2019.11.023" TargetMode="External"/><Relationship Id="rId10" Type="http://schemas.openxmlformats.org/officeDocument/2006/relationships/hyperlink" Target="https://doi.org/10.1007/s10489-021-02893-3" TargetMode="External"/><Relationship Id="rId11" Type="http://schemas.openxmlformats.org/officeDocument/2006/relationships/hyperlink" Target="https://doi.org/10.1109/TNNLS.2021.3080276" TargetMode="External"/><Relationship Id="rId12" Type="http://schemas.openxmlformats.org/officeDocument/2006/relationships/hyperlink" Target="https://doi.org/10.1109/TITS.2020.2983835" TargetMode="External"/><Relationship Id="rId13" Type="http://schemas.openxmlformats.org/officeDocument/2006/relationships/hyperlink" Target="https://doi.org/10.1109/ACCESS.2022.3177904" TargetMode="External"/><Relationship Id="rId14" Type="http://schemas.openxmlformats.org/officeDocument/2006/relationships/hyperlink" Target="https://doi.org/10.1109/TITS.2020.3003782" TargetMode="External"/><Relationship Id="rId15" Type="http://schemas.openxmlformats.org/officeDocument/2006/relationships/hyperlink" Target="https://doi.org/10.1109/UVS.2019.8658300" TargetMode="External"/><Relationship Id="rId16" Type="http://schemas.openxmlformats.org/officeDocument/2006/relationships/hyperlink" Target="https://doi.org/10.1016/j.comcom.2020.04.049" TargetMode="External"/><Relationship Id="rId17" Type="http://schemas.openxmlformats.org/officeDocument/2006/relationships/hyperlink" Target="https://doi.org/10.1109/TVT.2022.3188769" TargetMode="External"/><Relationship Id="rId18" Type="http://schemas.openxmlformats.org/officeDocument/2006/relationships/hyperlink" Target="https://doi.org/10.1109/TITS.2018.2797697" TargetMode="External"/><Relationship Id="rId19" Type="http://schemas.openxmlformats.org/officeDocument/2006/relationships/hyperlink" Target="https://doi.org/10.1109/IV51971.2022.9827305" TargetMode="External"/><Relationship Id="rId20" Type="http://schemas.openxmlformats.org/officeDocument/2006/relationships/hyperlink" Target="https://doi.org/10.1016/j.cose.2019.05.006" TargetMode="External"/><Relationship Id="rId21" Type="http://schemas.openxmlformats.org/officeDocument/2006/relationships/hyperlink" Target="https://doi.org/10.1109/ITSC45102.2020.9294728" TargetMode="External"/><Relationship Id="rId22" Type="http://schemas.openxmlformats.org/officeDocument/2006/relationships/hyperlink" Target="https://doi.org/10.1109/ACCESS.2020.2987622" TargetMode="External"/><Relationship Id="rId23" Type="http://schemas.openxmlformats.org/officeDocument/2006/relationships/hyperlink" Target="https://doi.org/10.1109/ACCESS.2022.3149054" TargetMode="External"/><Relationship Id="rId24" Type="http://schemas.openxmlformats.org/officeDocument/2006/relationships/hyperlink" Target="https://doi.org/10.1109/TITS.2021.3122567" TargetMode="External"/><Relationship Id="rId25" Type="http://schemas.openxmlformats.org/officeDocument/2006/relationships/hyperlink" Target="https://doi.org/10.1109/TITS.2020.3040557" TargetMode="External"/><Relationship Id="rId26" Type="http://schemas.openxmlformats.org/officeDocument/2006/relationships/hyperlink" Target="https://doi.org/10.1016/j.eswa.2023.120845" TargetMode="External"/><Relationship Id="rId27" Type="http://schemas.openxmlformats.org/officeDocument/2006/relationships/hyperlink" Target="https://doi.org/10.1109/ICRA40945.2020.9196845" TargetMode="External"/><Relationship Id="rId28" Type="http://schemas.openxmlformats.org/officeDocument/2006/relationships/hyperlink" Target="https://doi.org/10.1109/TVT.2020.3023861" TargetMode="External"/><Relationship Id="rId29" Type="http://schemas.openxmlformats.org/officeDocument/2006/relationships/hyperlink" Target="https://doi.org/10.1016/j.physa.2023.128980" TargetMode="External"/><Relationship Id="rId30" Type="http://schemas.openxmlformats.org/officeDocument/2006/relationships/hyperlink" Target="https://doi.org/10.1109/MWC.2018.1800155" TargetMode="External"/><Relationship Id="rId31" Type="http://schemas.openxmlformats.org/officeDocument/2006/relationships/hyperlink" Target="https://doi.org/10.1016/j.ejor.2023.02.031" TargetMode="External"/><Relationship Id="rId32" Type="http://schemas.openxmlformats.org/officeDocument/2006/relationships/hyperlink" Target="https://doi.org/10.1109/TII.2021.3101651" TargetMode="External"/><Relationship Id="rId33" Type="http://schemas.openxmlformats.org/officeDocument/2006/relationships/hyperlink" Target="https://doi.org/10.1109/TITS.2020.3020220" TargetMode="External"/><Relationship Id="rId34" Type="http://schemas.openxmlformats.org/officeDocument/2006/relationships/hyperlink" Target="https://doi.org/10.1109/TITS.2023.3252082" TargetMode="External"/><Relationship Id="rId35" Type="http://schemas.openxmlformats.org/officeDocument/2006/relationships/hyperlink" Target="https://doi.org/10.1016/j.aap.2018.12.013" TargetMode="External"/><Relationship Id="rId36" Type="http://schemas.openxmlformats.org/officeDocument/2006/relationships/hyperlink" Target="https://doi.org/10.1002/net.21847" TargetMode="External"/><Relationship Id="rId37" Type="http://schemas.openxmlformats.org/officeDocument/2006/relationships/hyperlink" Target="https://doi.org/10.1109/ITSC55140.2022.9921959" TargetMode="External"/><Relationship Id="rId38" Type="http://schemas.openxmlformats.org/officeDocument/2006/relationships/hyperlink" Target="https://doi.org/10.1016/j.comcom.2023.04.032" TargetMode="External"/><Relationship Id="rId39" Type="http://schemas.openxmlformats.org/officeDocument/2006/relationships/hyperlink" Target="https://doi.org/10.3390/rs15153778" TargetMode="External"/><Relationship Id="rId40" Type="http://schemas.openxmlformats.org/officeDocument/2006/relationships/hyperlink" Target="https://doi.org/10.1109/JIOT.2021.3103391" TargetMode="External"/><Relationship Id="rId41" Type="http://schemas.openxmlformats.org/officeDocument/2006/relationships/hyperlink" Target="https://doi.org/10.1016/j.measurement.2023.113252" TargetMode="External"/><Relationship Id="rId42" Type="http://schemas.openxmlformats.org/officeDocument/2006/relationships/hyperlink" Target="https://doi.org/10.3390/rs14143498" TargetMode="External"/><Relationship Id="rId43" Type="http://schemas.openxmlformats.org/officeDocument/2006/relationships/hyperlink" Target="https://doi.org/10.1007/s11042-021-11146-x" TargetMode="External"/><Relationship Id="rId44" Type="http://schemas.openxmlformats.org/officeDocument/2006/relationships/hyperlink" Target="https://doi.org/10.1109/WCNC.2018.8377077" TargetMode="External"/><Relationship Id="rId45" Type="http://schemas.openxmlformats.org/officeDocument/2006/relationships/hyperlink" Target="https://doi.org/10.1016/j.patcog.2022.109019" TargetMode="External"/><Relationship Id="rId46" Type="http://schemas.openxmlformats.org/officeDocument/2006/relationships/hyperlink" Target="https://doi.org/10.1109/COMST.2023.3312221" TargetMode="External"/><Relationship Id="rId47" Type="http://schemas.openxmlformats.org/officeDocument/2006/relationships/hyperlink" Target="https://doi.org/10.1177/03611981231185768" TargetMode="External"/><Relationship Id="rId48" Type="http://schemas.openxmlformats.org/officeDocument/2006/relationships/hyperlink" Target="https://doi.org/10.1016/j.asoc.2024.112015" TargetMode="External"/><Relationship Id="rId49" Type="http://schemas.openxmlformats.org/officeDocument/2006/relationships/hyperlink" Target="https://doi.org/10.1109/TIV.2024.3414140" TargetMode="External"/><Relationship Id="rId50" Type="http://schemas.openxmlformats.org/officeDocument/2006/relationships/hyperlink" Target="https://doi.org/10.3390/drones8030084" TargetMode="External"/><Relationship Id="rId51" Type="http://schemas.openxmlformats.org/officeDocument/2006/relationships/hyperlink" Target="https://doi.org/10.1109/COMST.2024.3400121" TargetMode="External"/><Relationship Id="rId52" Type="http://schemas.openxmlformats.org/officeDocument/2006/relationships/hyperlink" Target="https://doi.org/10.1016/j.dsp.2024.104594" TargetMode="External"/><Relationship Id="rId53" Type="http://schemas.openxmlformats.org/officeDocument/2006/relationships/hyperlink" Target="https://doi.org/10.1016/j.measurement.2024.116579" TargetMode="External"/><Relationship Id="rId54" Type="http://schemas.openxmlformats.org/officeDocument/2006/relationships/hyperlink" Target="https://doi.org/10.1016/j.compeleceng.2025.110313" TargetMode="External"/><Relationship Id="rId55" Type="http://schemas.openxmlformats.org/officeDocument/2006/relationships/hyperlink" Target="https://doi.org/10.1109/TITS.2024.3445088" TargetMode="External"/><Relationship Id="rId56" Type="http://schemas.openxmlformats.org/officeDocument/2006/relationships/hyperlink" Target="https://doi.org/10.1609/aaai.v38i9.28900" TargetMode="External"/><Relationship Id="rId57" Type="http://schemas.openxmlformats.org/officeDocument/2006/relationships/hyperlink" Target="https://doi.org/10.1109/TITS.2024.3360251" TargetMode="External"/><Relationship Id="rId58" Type="http://schemas.openxmlformats.org/officeDocument/2006/relationships/hyperlink" Target="https://doi.org/10.1016/j.jnca.2025.104134" TargetMode="External"/><Relationship Id="rId59" Type="http://schemas.openxmlformats.org/officeDocument/2006/relationships/hyperlink" Target="https://doi.org/10.3390/drones9010054" TargetMode="External"/><Relationship Id="rId60" Type="http://schemas.openxmlformats.org/officeDocument/2006/relationships/hyperlink" Target="https://doi.org/10.1109/TGRS.2024.3452550" TargetMode="External"/><Relationship Id="rId6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doi.org/10.1007/978-3-319-63387-9_5" TargetMode="External"/><Relationship Id="rId2" Type="http://schemas.openxmlformats.org/officeDocument/2006/relationships/hyperlink" Target="https://doi.org/10.1109/TITS.2021.3082767" TargetMode="External"/><Relationship Id="rId3" Type="http://schemas.openxmlformats.org/officeDocument/2006/relationships/hyperlink" Target="https://doi.org/10.1109/TITS.2022.3177627" TargetMode="External"/><Relationship Id="rId4" Type="http://schemas.openxmlformats.org/officeDocument/2006/relationships/hyperlink" Target="https://doi.org/10.3390/electronics12173664" TargetMode="External"/><Relationship Id="rId5" Type="http://schemas.openxmlformats.org/officeDocument/2006/relationships/hyperlink" Target="https://doi.org/10.1109/ACCESS.2021.3065926" TargetMode="External"/><Relationship Id="rId6" Type="http://schemas.openxmlformats.org/officeDocument/2006/relationships/hyperlink" Target="https://doi.org/10.2514/6.2018-3676" TargetMode="External"/><Relationship Id="rId7" Type="http://schemas.openxmlformats.org/officeDocument/2006/relationships/hyperlink" Target="https://doi.org/10.1109/ACCESS.2020.3000064" TargetMode="External"/><Relationship Id="rId8" Type="http://schemas.openxmlformats.org/officeDocument/2006/relationships/hyperlink" Target="https://doi.org/10.1109/MCOM.2018.1700430" TargetMode="External"/><Relationship Id="rId9" Type="http://schemas.openxmlformats.org/officeDocument/2006/relationships/hyperlink" Target="https://doi.org/10.1109/ACCESS.2019.2942944" TargetMode="External"/><Relationship Id="rId10" Type="http://schemas.openxmlformats.org/officeDocument/2006/relationships/hyperlink" Target="https://doi.org/10.1109/JSEN.2022.3171293" TargetMode="External"/><Relationship Id="rId11" Type="http://schemas.openxmlformats.org/officeDocument/2006/relationships/hyperlink" Target="https://doi.org/10.1109/ACCESS.2016.2537208" TargetMode="External"/><Relationship Id="rId12" Type="http://schemas.openxmlformats.org/officeDocument/2006/relationships/hyperlink" Target="https://doi.org/10.1016/j.future.2019.05.007" TargetMode="External"/><Relationship Id="rId13" Type="http://schemas.openxmlformats.org/officeDocument/2006/relationships/hyperlink" Target="https://doi.org/10.1109/LRA.2021.3056059" TargetMode="External"/><Relationship Id="rId14" Type="http://schemas.openxmlformats.org/officeDocument/2006/relationships/hyperlink" Target="https://doi.org/10.1109/OJCOMS.2019.2955889" TargetMode="External"/><Relationship Id="rId15" Type="http://schemas.openxmlformats.org/officeDocument/2006/relationships/hyperlink" Target="https://doi.org/10.1109/TVT.2019.2893615" TargetMode="External"/><Relationship Id="rId16" Type="http://schemas.openxmlformats.org/officeDocument/2006/relationships/hyperlink" Target="https://doi.org/10.1109/TCCN.2021.3099114" TargetMode="External"/><Relationship Id="rId17" Type="http://schemas.openxmlformats.org/officeDocument/2006/relationships/hyperlink" Target="https://doi.org/10.1109/ICASSP49357.2023.10095516" TargetMode="External"/><Relationship Id="rId18" Type="http://schemas.openxmlformats.org/officeDocument/2006/relationships/hyperlink" Target="https://doi.org/10.1016/j.jairtraman.2020.101929" TargetMode="External"/><Relationship Id="rId19" Type="http://schemas.openxmlformats.org/officeDocument/2006/relationships/hyperlink" Target="https://doi.org/10.1109/TGRS.2021.3104907" TargetMode="External"/><Relationship Id="rId20" Type="http://schemas.openxmlformats.org/officeDocument/2006/relationships/hyperlink" Target="https://doi.org/10.3390/s20143856" TargetMode="External"/><Relationship Id="rId21" Type="http://schemas.openxmlformats.org/officeDocument/2006/relationships/hyperlink" Target="https://doi.org/10.1109/TCOMM.2022.3224751" TargetMode="External"/><Relationship Id="rId22" Type="http://schemas.openxmlformats.org/officeDocument/2006/relationships/hyperlink" Target="https://doi.org/10.3390/aerospace7030024" TargetMode="External"/><Relationship Id="rId23" Type="http://schemas.openxmlformats.org/officeDocument/2006/relationships/hyperlink" Target="https://doi.org/10.1109/AERO.2019.8741970" TargetMode="External"/><Relationship Id="rId24" Type="http://schemas.openxmlformats.org/officeDocument/2006/relationships/hyperlink" Target="https://doi.org/10.3390/eng4010025" TargetMode="External"/><Relationship Id="rId25" Type="http://schemas.openxmlformats.org/officeDocument/2006/relationships/hyperlink" Target="https://doi.org/10.1109/JLT.2022.3208451" TargetMode="External"/><Relationship Id="rId26" Type="http://schemas.openxmlformats.org/officeDocument/2006/relationships/hyperlink" Target="https://doi.org/10.3390/s21082824" TargetMode="External"/><Relationship Id="rId27" Type="http://schemas.openxmlformats.org/officeDocument/2006/relationships/hyperlink" Target="https://doi.org/10.1109/JIOT.2021.3118949" TargetMode="External"/><Relationship Id="rId28" Type="http://schemas.openxmlformats.org/officeDocument/2006/relationships/hyperlink" Target="https://doi.org/10.1109/ICPR48806.2021.9413241" TargetMode="External"/><Relationship Id="rId29" Type="http://schemas.openxmlformats.org/officeDocument/2006/relationships/hyperlink" Target="https://doi.org/10.1016/j.comcom.2020.12.005" TargetMode="External"/><Relationship Id="rId30" Type="http://schemas.openxmlformats.org/officeDocument/2006/relationships/hyperlink" Target="https://doi.org/10.1142/S2301385018400022" TargetMode="External"/><Relationship Id="rId31" Type="http://schemas.openxmlformats.org/officeDocument/2006/relationships/hyperlink" Target="https://doi.org/10.2514/6.2018-1266" TargetMode="External"/><Relationship Id="rId32" Type="http://schemas.openxmlformats.org/officeDocument/2006/relationships/hyperlink" Target="https://doi.org/10.1109/ICIoT48696.2020.9089489" TargetMode="External"/><Relationship Id="rId33" Type="http://schemas.openxmlformats.org/officeDocument/2006/relationships/hyperlink" Target="https://doi.org/10.1109/ACCESS.2021.3092039" TargetMode="External"/><Relationship Id="rId34" Type="http://schemas.openxmlformats.org/officeDocument/2006/relationships/hyperlink" Target="https://doi.org/10.3390/drones5030095" TargetMode="External"/><Relationship Id="rId35" Type="http://schemas.openxmlformats.org/officeDocument/2006/relationships/hyperlink" Target="https://doi.org/10.1109/TIV.2023.3237329" TargetMode="External"/><Relationship Id="rId36" Type="http://schemas.openxmlformats.org/officeDocument/2006/relationships/hyperlink" Target="https://doi.org/10.1109/JSEN.2021.3068444" TargetMode="External"/><Relationship Id="rId37" Type="http://schemas.openxmlformats.org/officeDocument/2006/relationships/hyperlink" Target="https://doi.org/10.1007/s11042-023-15333-w" TargetMode="External"/><Relationship Id="rId38" Type="http://schemas.openxmlformats.org/officeDocument/2006/relationships/hyperlink" Target="https://doi.org/10.3390/drones7060383" TargetMode="External"/><Relationship Id="rId39" Type="http://schemas.openxmlformats.org/officeDocument/2006/relationships/hyperlink" Target="https://doi.org/10.3390/s21061947" TargetMode="External"/><Relationship Id="rId40" Type="http://schemas.openxmlformats.org/officeDocument/2006/relationships/hyperlink" Target="https://doi.org/10.1109/TVT.2020.2964110" TargetMode="External"/><Relationship Id="rId41" Type="http://schemas.openxmlformats.org/officeDocument/2006/relationships/hyperlink" Target="https://doi.org/10.1109/TVT.2023.3254604" TargetMode="External"/><Relationship Id="rId42" Type="http://schemas.openxmlformats.org/officeDocument/2006/relationships/hyperlink" Target="https://doi.org/10.1109/TIM.2022.3198490" TargetMode="External"/><Relationship Id="rId43" Type="http://schemas.openxmlformats.org/officeDocument/2006/relationships/hyperlink" Target="https://doi.org/10.3390/drones7010022" TargetMode="External"/><Relationship Id="rId44" Type="http://schemas.openxmlformats.org/officeDocument/2006/relationships/hyperlink" Target="https://doi.org/10.3390/s23177650" TargetMode="External"/><Relationship Id="rId45" Type="http://schemas.openxmlformats.org/officeDocument/2006/relationships/hyperlink" Target="https://doi.org/10.1109/TCCN.2025.3601015" TargetMode="External"/><Relationship Id="rId46" Type="http://schemas.openxmlformats.org/officeDocument/2006/relationships/hyperlink" Target="https://doi.org/10.1109/TWC.2025.3583950" TargetMode="External"/><Relationship Id="rId47" Type="http://schemas.openxmlformats.org/officeDocument/2006/relationships/hyperlink" Target="https://doi.org/10.1109/TGRS.2024.3395483" TargetMode="External"/><Relationship Id="rId48" Type="http://schemas.openxmlformats.org/officeDocument/2006/relationships/hyperlink" Target="https://doi.org/10.1109/MWC.2025.3630114" TargetMode="External"/><Relationship Id="rId49" Type="http://schemas.openxmlformats.org/officeDocument/2006/relationships/hyperlink" Target="https://doi.org/10.3390/drones8070337" TargetMode="External"/><Relationship Id="rId50" Type="http://schemas.openxmlformats.org/officeDocument/2006/relationships/hyperlink" Target="https://doi.org/10.1109/ACCESS.2024.3420730" TargetMode="External"/><Relationship Id="rId51" Type="http://schemas.openxmlformats.org/officeDocument/2006/relationships/hyperlink" Target="https://doi.org/10.1109/ACCESS.2024.3363413" TargetMode="External"/><Relationship Id="rId52" Type="http://schemas.openxmlformats.org/officeDocument/2006/relationships/hyperlink" Target="https://doi.org/10.1109/TITS.2024.3509339" TargetMode="External"/><Relationship Id="rId53" Type="http://schemas.openxmlformats.org/officeDocument/2006/relationships/hyperlink" Target="https://doi.org/10.1109/TITS.2024.3511453" TargetMode="External"/><Relationship Id="rId54" Type="http://schemas.openxmlformats.org/officeDocument/2006/relationships/hyperlink" Target="https://doi.org/10.1145/3617992" TargetMode="External"/><Relationship Id="rId55" Type="http://schemas.openxmlformats.org/officeDocument/2006/relationships/hyperlink" Target="https://doi.org/10.3390/drones9030159" TargetMode="External"/><Relationship Id="rId56" Type="http://schemas.openxmlformats.org/officeDocument/2006/relationships/hyperlink" Target="https://doi.org/10.1109/TCOMM.2025.3642742" TargetMode="External"/><Relationship Id="rId57" Type="http://schemas.openxmlformats.org/officeDocument/2006/relationships/hyperlink" Target="https://doi.org/10.1109/TCCN.2025.3645407" TargetMode="External"/><Relationship Id="rId58" Type="http://schemas.openxmlformats.org/officeDocument/2006/relationships/hyperlink" Target="https://doi.org/10.3390/drones9050320" TargetMode="External"/><Relationship Id="rId59" Type="http://schemas.openxmlformats.org/officeDocument/2006/relationships/hyperlink" Target="https://doi.org/10.1016/j.tre.2024.103859" TargetMode="External"/><Relationship Id="rId60"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doi.org/10.1016/j.tre.2023.103152" TargetMode="External"/><Relationship Id="rId2" Type="http://schemas.openxmlformats.org/officeDocument/2006/relationships/hyperlink" Target="https://doi.org/10.1109/WACVW58289.2023.00029" TargetMode="External"/><Relationship Id="rId3" Type="http://schemas.openxmlformats.org/officeDocument/2006/relationships/hyperlink" Target="https://doi.org/10.1016/j.apor.2021.102759" TargetMode="External"/><Relationship Id="rId4" Type="http://schemas.openxmlformats.org/officeDocument/2006/relationships/hyperlink" Target="https://doi.org/10.1016/j.ress.2020.107324" TargetMode="External"/><Relationship Id="rId5" Type="http://schemas.openxmlformats.org/officeDocument/2006/relationships/hyperlink" Target="https://doi.org/10.1016/j.isatra.2023.01.007" TargetMode="External"/><Relationship Id="rId6" Type="http://schemas.openxmlformats.org/officeDocument/2006/relationships/hyperlink" Target="https://doi.org/10.1017/S0373463318000796" TargetMode="External"/><Relationship Id="rId7" Type="http://schemas.openxmlformats.org/officeDocument/2006/relationships/hyperlink" Target="https://doi.org/10.1109/TII.2020.2974047" TargetMode="External"/><Relationship Id="rId8" Type="http://schemas.openxmlformats.org/officeDocument/2006/relationships/hyperlink" Target="https://doi.org/10.1016/j.oceaneng.2020.107001" TargetMode="External"/><Relationship Id="rId9" Type="http://schemas.openxmlformats.org/officeDocument/2006/relationships/hyperlink" Target="https://doi.org/10.1109/MITS.2022.3229109" TargetMode="External"/><Relationship Id="rId10" Type="http://schemas.openxmlformats.org/officeDocument/2006/relationships/hyperlink" Target="https://doi.org/10.1016/j.cie.2021.107612" TargetMode="External"/><Relationship Id="rId11" Type="http://schemas.openxmlformats.org/officeDocument/2006/relationships/hyperlink" Target="https://doi.org/10.1016/j.oceaneng.2023.116159" TargetMode="External"/><Relationship Id="rId12" Type="http://schemas.openxmlformats.org/officeDocument/2006/relationships/hyperlink" Target="https://doi.org/10.1016/j.oceaneng.2021.109216" TargetMode="External"/><Relationship Id="rId13" Type="http://schemas.openxmlformats.org/officeDocument/2006/relationships/hyperlink" Target="https://doi.org/10.3389/fmars.2019.00084" TargetMode="External"/><Relationship Id="rId14" Type="http://schemas.openxmlformats.org/officeDocument/2006/relationships/hyperlink" Target="https://doi.org/10.1016/j.isatra.2022.09.007" TargetMode="External"/><Relationship Id="rId15" Type="http://schemas.openxmlformats.org/officeDocument/2006/relationships/hyperlink" Target="https://doi.org/10.1109/TITS.2016.2551780" TargetMode="External"/><Relationship Id="rId16" Type="http://schemas.openxmlformats.org/officeDocument/2006/relationships/hyperlink" Target="https://doi.org/10.1016/j.oceaneng.2023.114005" TargetMode="External"/><Relationship Id="rId17" Type="http://schemas.openxmlformats.org/officeDocument/2006/relationships/hyperlink" Target="https://doi.org/10.1016/j.tre.2023.103171" TargetMode="External"/><Relationship Id="rId18" Type="http://schemas.openxmlformats.org/officeDocument/2006/relationships/hyperlink" Target="https://doi.org/10.1016/j.oceaneng.2019.106436" TargetMode="External"/><Relationship Id="rId19" Type="http://schemas.openxmlformats.org/officeDocument/2006/relationships/hyperlink" Target="https://doi.org/10.1016/j.ssci.2020.104812" TargetMode="External"/><Relationship Id="rId20" Type="http://schemas.openxmlformats.org/officeDocument/2006/relationships/hyperlink" Target="https://doi.org/10.1016/j.oceaneng.2023.115440" TargetMode="External"/><Relationship Id="rId21" Type="http://schemas.openxmlformats.org/officeDocument/2006/relationships/hyperlink" Target="https://doi.org/10.1016/j.oceaneng.2018.12.053" TargetMode="External"/><Relationship Id="rId22" Type="http://schemas.openxmlformats.org/officeDocument/2006/relationships/hyperlink" Target="https://doi.org/10.1016/j.oceaneng.2023.114205" TargetMode="External"/><Relationship Id="rId23" Type="http://schemas.openxmlformats.org/officeDocument/2006/relationships/hyperlink" Target="https://doi.org/10.1016/j.oceaneng.2023.115208" TargetMode="External"/><Relationship Id="rId24" Type="http://schemas.openxmlformats.org/officeDocument/2006/relationships/hyperlink" Target="https://doi.org/10.1109/ACCESS.2021.3053956" TargetMode="External"/><Relationship Id="rId25" Type="http://schemas.openxmlformats.org/officeDocument/2006/relationships/hyperlink" Target="https://doi.org/10.1016/j.oceaneng.2020.107910" TargetMode="External"/><Relationship Id="rId26" Type="http://schemas.openxmlformats.org/officeDocument/2006/relationships/hyperlink" Target="https://doi.org/10.1109/LRA.2021.3067271" TargetMode="External"/><Relationship Id="rId27" Type="http://schemas.openxmlformats.org/officeDocument/2006/relationships/hyperlink" Target="https://doi.org/10.1016/j.neucom.2021.09.071" TargetMode="External"/><Relationship Id="rId28" Type="http://schemas.openxmlformats.org/officeDocument/2006/relationships/hyperlink" Target="https://doi.org/10.1109/TGRS.2018.2848901" TargetMode="External"/><Relationship Id="rId29" Type="http://schemas.openxmlformats.org/officeDocument/2006/relationships/hyperlink" Target="https://doi.org/10.1016/j.ress.2023.109103" TargetMode="External"/><Relationship Id="rId30" Type="http://schemas.openxmlformats.org/officeDocument/2006/relationships/hyperlink" Target="https://doi.org/10.3389/fmars.2022.1084763" TargetMode="External"/><Relationship Id="rId31" Type="http://schemas.openxmlformats.org/officeDocument/2006/relationships/hyperlink" Target="https://doi.org/10.1016/j.oceaneng.2023.113737" TargetMode="External"/><Relationship Id="rId32" Type="http://schemas.openxmlformats.org/officeDocument/2006/relationships/hyperlink" Target="https://doi.org/10.1109/ACCESS.2021.3049238" TargetMode="External"/><Relationship Id="rId33" Type="http://schemas.openxmlformats.org/officeDocument/2006/relationships/hyperlink" Target="https://doi.org/10.1016/j.ssci.2020.104939" TargetMode="External"/><Relationship Id="rId34" Type="http://schemas.openxmlformats.org/officeDocument/2006/relationships/hyperlink" Target="https://doi.org/10.1002/rob.21935" TargetMode="External"/><Relationship Id="rId35" Type="http://schemas.openxmlformats.org/officeDocument/2006/relationships/hyperlink" Target="https://doi.org/10.1016/j.ress.2023.109554" TargetMode="External"/><Relationship Id="rId36" Type="http://schemas.openxmlformats.org/officeDocument/2006/relationships/hyperlink" Target="https://doi.org/10.1016/j.oceaneng.2020.107704" TargetMode="External"/><Relationship Id="rId37" Type="http://schemas.openxmlformats.org/officeDocument/2006/relationships/hyperlink" Target="https://doi.org/10.1016/j.oceaneng.2018.04.018" TargetMode="External"/><Relationship Id="rId38" Type="http://schemas.openxmlformats.org/officeDocument/2006/relationships/hyperlink" Target="https://doi.org/10.3390/rs14133049" TargetMode="External"/><Relationship Id="rId39" Type="http://schemas.openxmlformats.org/officeDocument/2006/relationships/hyperlink" Target="https://doi.org/10.1145/3571733" TargetMode="External"/><Relationship Id="rId40" Type="http://schemas.openxmlformats.org/officeDocument/2006/relationships/hyperlink" Target="https://doi.org/10.1109/ACCESS.2019.2953326" TargetMode="External"/><Relationship Id="rId41" Type="http://schemas.openxmlformats.org/officeDocument/2006/relationships/hyperlink" Target="https://doi.org/10.3390/jmse11112065" TargetMode="External"/><Relationship Id="rId42" Type="http://schemas.openxmlformats.org/officeDocument/2006/relationships/hyperlink" Target="https://doi.org/10.1016/j.oceaneng.2022.110749" TargetMode="External"/><Relationship Id="rId43" Type="http://schemas.openxmlformats.org/officeDocument/2006/relationships/hyperlink" Target="https://doi.org/10.1016/j.oceaneng.2022.110531" TargetMode="External"/><Relationship Id="rId44" Type="http://schemas.openxmlformats.org/officeDocument/2006/relationships/hyperlink" Target="https://doi.org/10.3233/ica-210649" TargetMode="External"/><Relationship Id="rId45" Type="http://schemas.openxmlformats.org/officeDocument/2006/relationships/hyperlink" Target="https://doi.org/10.1007/s13437-022-00277-z" TargetMode="External"/><Relationship Id="rId46" Type="http://schemas.openxmlformats.org/officeDocument/2006/relationships/hyperlink" Target="https://doi.org/10.1016/j.neucom.2025.132597" TargetMode="External"/><Relationship Id="rId47" Type="http://schemas.openxmlformats.org/officeDocument/2006/relationships/hyperlink" Target="https://doi.org/10.1109/TITS.2024.3415772" TargetMode="External"/><Relationship Id="rId48" Type="http://schemas.openxmlformats.org/officeDocument/2006/relationships/hyperlink" Target="https://doi.org/10.1016/j.engappai.2023.107513" TargetMode="External"/><Relationship Id="rId49" Type="http://schemas.openxmlformats.org/officeDocument/2006/relationships/hyperlink" Target="https://doi.org/10.1109/TIV.2023.3317336" TargetMode="External"/><Relationship Id="rId50" Type="http://schemas.openxmlformats.org/officeDocument/2006/relationships/hyperlink" Target="https://doi.org/10.1016/j.aei.2025.103355" TargetMode="External"/><Relationship Id="rId51" Type="http://schemas.openxmlformats.org/officeDocument/2006/relationships/hyperlink" Target="https://doi.org/10.1016/j.oceaneng.2025.120907" TargetMode="External"/><Relationship Id="rId52" Type="http://schemas.openxmlformats.org/officeDocument/2006/relationships/hyperlink" Target="https://doi.org/10.1109/TVT.2023.3338518" TargetMode="External"/><Relationship Id="rId53" Type="http://schemas.openxmlformats.org/officeDocument/2006/relationships/hyperlink" Target="https://doi.org/10.1016/j.oceaneng.2024.117210" TargetMode="External"/><Relationship Id="rId54" Type="http://schemas.openxmlformats.org/officeDocument/2006/relationships/hyperlink" Target="https://doi.org/10.1016/j.oceaneng.2026.124487" TargetMode="External"/><Relationship Id="rId55" Type="http://schemas.openxmlformats.org/officeDocument/2006/relationships/hyperlink" Target="https://doi.org/10.21278/brod77204" TargetMode="External"/><Relationship Id="rId56" Type="http://schemas.openxmlformats.org/officeDocument/2006/relationships/hyperlink" Target="https://doi.org/10.1016/j.eswa.2024.124388" TargetMode="External"/><Relationship Id="rId57" Type="http://schemas.openxmlformats.org/officeDocument/2006/relationships/hyperlink" Target="https://doi.org/10.1016/j.tre.2023.103367" TargetMode="External"/><Relationship Id="rId58" Type="http://schemas.openxmlformats.org/officeDocument/2006/relationships/hyperlink" Target="https://doi.org/10.1109/TCYB.2025.3556042" TargetMode="External"/><Relationship Id="rId59" Type="http://schemas.openxmlformats.org/officeDocument/2006/relationships/hyperlink" Target="https://doi.org/10.1016/j.oceaneng.2024.120128" TargetMode="External"/><Relationship Id="rId60" Type="http://schemas.openxmlformats.org/officeDocument/2006/relationships/hyperlink" Target="https://doi.org/10.1016/j.oceaneng.2025.124120" TargetMode="External"/><Relationship Id="rId6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doi.org/10.1016/j.comcom.2020.02.069" TargetMode="External"/><Relationship Id="rId2" Type="http://schemas.openxmlformats.org/officeDocument/2006/relationships/hyperlink" Target="https://doi.org/10.3390/rs14030620" TargetMode="External"/><Relationship Id="rId3" Type="http://schemas.openxmlformats.org/officeDocument/2006/relationships/hyperlink" Target="https://doi.org/10.1016/j.jestch.2023.101455" TargetMode="External"/><Relationship Id="rId4" Type="http://schemas.openxmlformats.org/officeDocument/2006/relationships/hyperlink" Target="https://doi.org/10.3390/ijerph18115940" TargetMode="External"/><Relationship Id="rId5" Type="http://schemas.openxmlformats.org/officeDocument/2006/relationships/hyperlink" Target="https://doi.org/10.3390/futuretransp1020019" TargetMode="External"/><Relationship Id="rId6" Type="http://schemas.openxmlformats.org/officeDocument/2006/relationships/hyperlink" Target="https://doi.org/10.3390/s24010125" TargetMode="External"/><Relationship Id="rId7" Type="http://schemas.openxmlformats.org/officeDocument/2006/relationships/hyperlink" Target="https://doi.org/10.1016/j.cosrev.2023.100614" TargetMode="External"/><Relationship Id="rId8" Type="http://schemas.openxmlformats.org/officeDocument/2006/relationships/hyperlink" Target="https://doi.org/10.3390/rs16050879" TargetMode="External"/><Relationship Id="rId9" Type="http://schemas.openxmlformats.org/officeDocument/2006/relationships/hyperlink" Target="https://doi.org/10.3390/drones10020091" TargetMode="External"/><Relationship Id="rId10" Type="http://schemas.openxmlformats.org/officeDocument/2006/relationships/hyperlink" Target="https://doi.org/10.3390/drones9010059" TargetMode="External"/><Relationship Id="rId11" Type="http://schemas.openxmlformats.org/officeDocument/2006/relationships/hyperlink" Target="https://doi.org/10.1016/j.iswa.2025.200561" TargetMode="External"/><Relationship Id="rId12" Type="http://schemas.openxmlformats.org/officeDocument/2006/relationships/hyperlink" Target="https://doi.org/10.1016/j.oceaneng.2023.115359" TargetMode="External"/><Relationship Id="rId13" Type="http://schemas.openxmlformats.org/officeDocument/2006/relationships/hyperlink" Target="https://doi.org/10.1016/j.ssci.2023.106256" TargetMode="External"/><Relationship Id="rId14" Type="http://schemas.openxmlformats.org/officeDocument/2006/relationships/hyperlink" Target="https://doi.org/10.1016/j.atech.2025.101147" TargetMode="External"/><Relationship Id="rId15" Type="http://schemas.openxmlformats.org/officeDocument/2006/relationships/hyperlink" Target="https://doi.org/10.1016/j.oceaneng.2024.118174" TargetMode="External"/><Relationship Id="rId16"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3" t="s">
        <v>12</v>
      </c>
    </row>
    <row r="17" customFormat="false" ht="15" hidden="false" customHeight="false" outlineLevel="0" collapsed="false">
      <c r="A17" s="2" t="s">
        <v>13</v>
      </c>
    </row>
    <row r="18" customFormat="false" ht="15" hidden="false" customHeight="false" outlineLevel="0" collapsed="false">
      <c r="A18" s="2" t="s">
        <v>14</v>
      </c>
    </row>
    <row r="19" customFormat="false" ht="15" hidden="false" customHeight="false" outlineLevel="0" collapsed="false">
      <c r="A19" s="2" t="s">
        <v>15</v>
      </c>
    </row>
    <row r="20" customFormat="false" ht="15" hidden="false" customHeight="false" outlineLevel="0" collapsed="false">
      <c r="A20" s="2" t="s">
        <v>16</v>
      </c>
    </row>
    <row r="21" customFormat="false" ht="15" hidden="false" customHeight="false" outlineLevel="0" collapsed="false">
      <c r="A21" s="2"/>
    </row>
    <row r="22" customFormat="false" ht="15" hidden="false" customHeight="false" outlineLevel="0" collapsed="false">
      <c r="A22" s="3" t="s">
        <v>17</v>
      </c>
    </row>
    <row r="23" customFormat="false" ht="15" hidden="false" customHeight="false" outlineLevel="0" collapsed="false">
      <c r="A23" s="2" t="s">
        <v>18</v>
      </c>
    </row>
    <row r="24" customFormat="false" ht="15" hidden="false" customHeight="false" outlineLevel="0" collapsed="false">
      <c r="A24"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16"/>
  </cols>
  <sheetData>
    <row r="1" customFormat="false" ht="15" hidden="false" customHeight="false" outlineLevel="0" collapsed="false">
      <c r="A1" s="4" t="s">
        <v>20</v>
      </c>
      <c r="B1" s="4" t="s">
        <v>21</v>
      </c>
      <c r="C1" s="4" t="s">
        <v>22</v>
      </c>
      <c r="D1" s="4" t="s">
        <v>23</v>
      </c>
      <c r="E1" s="4" t="s">
        <v>24</v>
      </c>
      <c r="F1" s="4" t="s">
        <v>25</v>
      </c>
      <c r="G1" s="4" t="s">
        <v>26</v>
      </c>
      <c r="H1" s="4" t="s">
        <v>27</v>
      </c>
    </row>
    <row r="2" customFormat="false" ht="15" hidden="false" customHeight="false" outlineLevel="0" collapsed="false">
      <c r="A2" s="2" t="s">
        <v>28</v>
      </c>
      <c r="B2" s="2" t="n">
        <f aca="false">COUNTIFS(Ground!$B:$B,"core",Ground!$M:$M,"Include")</f>
        <v>0</v>
      </c>
      <c r="C2" s="2" t="n">
        <v>20</v>
      </c>
      <c r="D2" s="2" t="n">
        <f aca="false">COUNTIFS(Ground!$B:$B,"recent",Ground!$M:$M,"Include")</f>
        <v>0</v>
      </c>
      <c r="E2" s="2" t="n">
        <v>5</v>
      </c>
      <c r="F2" s="2" t="n">
        <f aca="false">COUNTIF(Ground!$M:$M,"Exclude")</f>
        <v>0</v>
      </c>
      <c r="G2" s="2" t="n">
        <f aca="false">COUNTIF(Ground!$M:$M,"Unsure")</f>
        <v>0</v>
      </c>
      <c r="H2" s="2" t="str">
        <f aca="false">IF(AND(B2&gt;=C2,D2&gt;=E2),"Done","In progress")</f>
        <v>In progress</v>
      </c>
    </row>
    <row r="3" customFormat="false" ht="15" hidden="false" customHeight="false" outlineLevel="0" collapsed="false">
      <c r="A3" s="2" t="s">
        <v>29</v>
      </c>
      <c r="B3" s="2" t="n">
        <f aca="false">COUNTIFS(Air!$B:$B,"core",Air!$M:$M,"Include")</f>
        <v>0</v>
      </c>
      <c r="C3" s="2" t="n">
        <v>20</v>
      </c>
      <c r="D3" s="2" t="n">
        <f aca="false">COUNTIFS(Air!$B:$B,"recent",Air!$M:$M,"Include")</f>
        <v>0</v>
      </c>
      <c r="E3" s="2" t="n">
        <v>5</v>
      </c>
      <c r="F3" s="2" t="n">
        <f aca="false">COUNTIF(Air!$M:$M,"Exclude")</f>
        <v>0</v>
      </c>
      <c r="G3" s="2" t="n">
        <f aca="false">COUNTIF(Air!$M:$M,"Unsure")</f>
        <v>0</v>
      </c>
      <c r="H3" s="2" t="str">
        <f aca="false">IF(AND(B3&gt;=C3,D3&gt;=E3),"Done","In progress")</f>
        <v>In progress</v>
      </c>
    </row>
    <row r="4" customFormat="false" ht="15" hidden="false" customHeight="false" outlineLevel="0" collapsed="false">
      <c r="A4" s="2" t="s">
        <v>30</v>
      </c>
      <c r="B4" s="2" t="n">
        <f aca="false">COUNTIFS(Maritime!$B:$B,"core",Maritime!$M:$M,"Include")</f>
        <v>0</v>
      </c>
      <c r="C4" s="2" t="n">
        <v>20</v>
      </c>
      <c r="D4" s="2" t="n">
        <f aca="false">COUNTIFS(Maritime!$B:$B,"recent",Maritime!$M:$M,"Include")</f>
        <v>0</v>
      </c>
      <c r="E4" s="2" t="n">
        <v>5</v>
      </c>
      <c r="F4" s="2" t="n">
        <f aca="false">COUNTIF(Maritime!$M:$M,"Exclude")</f>
        <v>0</v>
      </c>
      <c r="G4" s="2" t="n">
        <f aca="false">COUNTIF(Maritime!$M:$M,"Unsure")</f>
        <v>0</v>
      </c>
      <c r="H4" s="2" t="str">
        <f aca="false">IF(AND(B4&gt;=C4,D4&gt;=E4),"Done","In progress")</f>
        <v>In progress</v>
      </c>
    </row>
    <row r="5" customFormat="false" ht="15" hidden="false" customHeight="false" outlineLevel="0" collapsed="false">
      <c r="A5" s="2" t="s">
        <v>31</v>
      </c>
      <c r="B5" s="2" t="n">
        <f aca="false">COUNTIF(Surveys!$M:$M,"Include")</f>
        <v>0</v>
      </c>
      <c r="C5" s="2" t="n">
        <v>6</v>
      </c>
      <c r="D5" s="2"/>
      <c r="E5" s="2"/>
      <c r="F5" s="2"/>
      <c r="G5" s="2"/>
      <c r="H5" s="2"/>
    </row>
    <row r="7" customFormat="false" ht="15" hidden="false" customHeight="false" outlineLevel="0" collapsed="false">
      <c r="A7" s="5"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6"/>
    <col collapsed="false" customWidth="true" hidden="false" outlineLevel="0" max="5" min="4" style="0" width="8"/>
    <col collapsed="false" customWidth="true" hidden="false" outlineLevel="0" max="6" min="6" style="0" width="45"/>
    <col collapsed="false" customWidth="true" hidden="false" outlineLevel="0" max="7" min="7" style="0" width="90"/>
    <col collapsed="false" customWidth="true" hidden="false" outlineLevel="0" max="8" min="8" style="0" width="30"/>
    <col collapsed="false" customWidth="true" hidden="false" outlineLevel="0" max="9" min="9" style="0" width="25"/>
    <col collapsed="false" customWidth="true" hidden="false" outlineLevel="0" max="10" min="10" style="0" width="12"/>
    <col collapsed="false" customWidth="true" hidden="false" outlineLevel="0" max="11" min="11" style="0" width="22"/>
    <col collapsed="false" customWidth="true" hidden="false" outlineLevel="0" max="12" min="12" style="0" width="20"/>
    <col collapsed="false" customWidth="true" hidden="false" outlineLevel="0" max="13" min="13" style="0" width="11"/>
    <col collapsed="false" customWidth="true" hidden="false" outlineLevel="0" max="14" min="14" style="0" width="9"/>
    <col collapsed="false" customWidth="true" hidden="false" outlineLevel="0" max="15" min="15" style="0" width="30"/>
  </cols>
  <sheetData>
    <row r="1" customFormat="false" ht="23.85" hidden="false" customHeight="false" outlineLevel="0" collapsed="false">
      <c r="A1" s="6" t="s">
        <v>33</v>
      </c>
      <c r="B1" s="6" t="s">
        <v>34</v>
      </c>
      <c r="C1" s="6" t="s">
        <v>35</v>
      </c>
      <c r="D1" s="6" t="s">
        <v>36</v>
      </c>
      <c r="E1" s="6" t="s">
        <v>37</v>
      </c>
      <c r="F1" s="6" t="s">
        <v>38</v>
      </c>
      <c r="G1" s="6" t="s">
        <v>39</v>
      </c>
      <c r="H1" s="6" t="s">
        <v>40</v>
      </c>
      <c r="I1" s="6" t="s">
        <v>41</v>
      </c>
      <c r="J1" s="6" t="s">
        <v>42</v>
      </c>
      <c r="K1" s="6" t="s">
        <v>43</v>
      </c>
      <c r="L1" s="6" t="s">
        <v>44</v>
      </c>
      <c r="M1" s="6" t="s">
        <v>45</v>
      </c>
      <c r="N1" s="6" t="s">
        <v>46</v>
      </c>
      <c r="O1" s="6" t="s">
        <v>47</v>
      </c>
    </row>
    <row r="2" customFormat="false" ht="109.5" hidden="false" customHeight="true" outlineLevel="0" collapsed="false">
      <c r="A2" s="7" t="n">
        <v>1</v>
      </c>
      <c r="B2" s="7" t="s">
        <v>48</v>
      </c>
      <c r="C2" s="7" t="n">
        <v>2018</v>
      </c>
      <c r="D2" s="7" t="n">
        <v>1636</v>
      </c>
      <c r="E2" s="7" t="n">
        <v>197.37</v>
      </c>
      <c r="F2" s="7" t="s">
        <v>49</v>
      </c>
      <c r="G2" s="7" t="s">
        <v>50</v>
      </c>
      <c r="H2" s="7"/>
      <c r="I2" s="7" t="s">
        <v>51</v>
      </c>
      <c r="J2" s="7" t="s">
        <v>52</v>
      </c>
      <c r="K2" s="8" t="s">
        <v>53</v>
      </c>
      <c r="L2" s="7" t="s">
        <v>54</v>
      </c>
      <c r="M2" s="9"/>
      <c r="N2" s="9"/>
      <c r="O2" s="9"/>
    </row>
    <row r="3" customFormat="false" ht="109.5" hidden="false" customHeight="true" outlineLevel="0" collapsed="false">
      <c r="A3" s="7" t="n">
        <v>2</v>
      </c>
      <c r="B3" s="7" t="s">
        <v>48</v>
      </c>
      <c r="C3" s="7" t="n">
        <v>2022</v>
      </c>
      <c r="D3" s="7" t="n">
        <v>748</v>
      </c>
      <c r="E3" s="7" t="n">
        <v>174.4</v>
      </c>
      <c r="F3" s="7" t="s">
        <v>55</v>
      </c>
      <c r="G3" s="7" t="s">
        <v>56</v>
      </c>
      <c r="H3" s="7" t="s">
        <v>57</v>
      </c>
      <c r="I3" s="7" t="s">
        <v>58</v>
      </c>
      <c r="J3" s="7" t="s">
        <v>59</v>
      </c>
      <c r="K3" s="8" t="s">
        <v>60</v>
      </c>
      <c r="L3" s="7" t="s">
        <v>61</v>
      </c>
      <c r="M3" s="9"/>
      <c r="N3" s="9"/>
      <c r="O3" s="9"/>
    </row>
    <row r="4" customFormat="false" ht="109.5" hidden="false" customHeight="true" outlineLevel="0" collapsed="false">
      <c r="A4" s="7" t="n">
        <v>3</v>
      </c>
      <c r="B4" s="7" t="s">
        <v>48</v>
      </c>
      <c r="C4" s="7" t="n">
        <v>2022</v>
      </c>
      <c r="D4" s="7" t="n">
        <v>712</v>
      </c>
      <c r="E4" s="7" t="n">
        <v>166</v>
      </c>
      <c r="F4" s="7" t="s">
        <v>62</v>
      </c>
      <c r="G4" s="7" t="s">
        <v>63</v>
      </c>
      <c r="H4" s="7" t="s">
        <v>64</v>
      </c>
      <c r="I4" s="7" t="s">
        <v>65</v>
      </c>
      <c r="J4" s="7" t="s">
        <v>59</v>
      </c>
      <c r="K4" s="8" t="s">
        <v>66</v>
      </c>
      <c r="L4" s="7" t="s">
        <v>67</v>
      </c>
      <c r="M4" s="9"/>
      <c r="N4" s="9"/>
      <c r="O4" s="9"/>
    </row>
    <row r="5" customFormat="false" ht="109.5" hidden="false" customHeight="true" outlineLevel="0" collapsed="false">
      <c r="A5" s="7" t="n">
        <v>4</v>
      </c>
      <c r="B5" s="7" t="s">
        <v>48</v>
      </c>
      <c r="C5" s="7" t="n">
        <v>2017</v>
      </c>
      <c r="D5" s="7" t="n">
        <v>922</v>
      </c>
      <c r="E5" s="7" t="n">
        <v>99.26</v>
      </c>
      <c r="F5" s="7" t="s">
        <v>68</v>
      </c>
      <c r="G5" s="7" t="s">
        <v>69</v>
      </c>
      <c r="H5" s="7"/>
      <c r="I5" s="7" t="s">
        <v>70</v>
      </c>
      <c r="J5" s="7" t="s">
        <v>59</v>
      </c>
      <c r="K5" s="8" t="s">
        <v>71</v>
      </c>
      <c r="L5" s="7" t="s">
        <v>72</v>
      </c>
      <c r="M5" s="9"/>
      <c r="N5" s="9"/>
      <c r="O5" s="9"/>
    </row>
    <row r="6" customFormat="false" ht="109.5" hidden="false" customHeight="true" outlineLevel="0" collapsed="false">
      <c r="A6" s="7" t="n">
        <v>5</v>
      </c>
      <c r="B6" s="7" t="s">
        <v>48</v>
      </c>
      <c r="C6" s="7" t="n">
        <v>2023</v>
      </c>
      <c r="D6" s="7" t="n">
        <v>282</v>
      </c>
      <c r="E6" s="7" t="n">
        <v>85.74</v>
      </c>
      <c r="F6" s="7" t="s">
        <v>73</v>
      </c>
      <c r="G6" s="7" t="s">
        <v>74</v>
      </c>
      <c r="H6" s="7" t="s">
        <v>75</v>
      </c>
      <c r="I6" s="7" t="s">
        <v>76</v>
      </c>
      <c r="J6" s="7" t="s">
        <v>59</v>
      </c>
      <c r="K6" s="8" t="s">
        <v>77</v>
      </c>
      <c r="L6" s="7" t="s">
        <v>78</v>
      </c>
      <c r="M6" s="9"/>
      <c r="N6" s="9"/>
      <c r="O6" s="9"/>
    </row>
    <row r="7" customFormat="false" ht="109.5" hidden="false" customHeight="true" outlineLevel="0" collapsed="false">
      <c r="A7" s="7" t="n">
        <v>6</v>
      </c>
      <c r="B7" s="7" t="s">
        <v>48</v>
      </c>
      <c r="C7" s="7" t="n">
        <v>2020</v>
      </c>
      <c r="D7" s="7" t="n">
        <v>491</v>
      </c>
      <c r="E7" s="7" t="n">
        <v>78.07</v>
      </c>
      <c r="F7" s="7" t="s">
        <v>79</v>
      </c>
      <c r="G7" s="7" t="s">
        <v>80</v>
      </c>
      <c r="H7" s="7" t="s">
        <v>81</v>
      </c>
      <c r="I7" s="7" t="s">
        <v>82</v>
      </c>
      <c r="J7" s="7" t="s">
        <v>59</v>
      </c>
      <c r="K7" s="8" t="s">
        <v>83</v>
      </c>
      <c r="L7" s="7" t="s">
        <v>84</v>
      </c>
      <c r="M7" s="9"/>
      <c r="N7" s="9"/>
      <c r="O7" s="9"/>
    </row>
    <row r="8" customFormat="false" ht="109.5" hidden="false" customHeight="true" outlineLevel="0" collapsed="false">
      <c r="A8" s="7" t="n">
        <v>7</v>
      </c>
      <c r="B8" s="7" t="s">
        <v>48</v>
      </c>
      <c r="C8" s="7" t="n">
        <v>2020</v>
      </c>
      <c r="D8" s="7" t="n">
        <v>462</v>
      </c>
      <c r="E8" s="7" t="n">
        <v>73.46</v>
      </c>
      <c r="F8" s="7" t="s">
        <v>85</v>
      </c>
      <c r="G8" s="7" t="s">
        <v>86</v>
      </c>
      <c r="H8" s="7"/>
      <c r="I8" s="7" t="s">
        <v>87</v>
      </c>
      <c r="J8" s="7" t="s">
        <v>52</v>
      </c>
      <c r="K8" s="8" t="s">
        <v>88</v>
      </c>
      <c r="L8" s="7" t="s">
        <v>89</v>
      </c>
      <c r="M8" s="9"/>
      <c r="N8" s="9"/>
      <c r="O8" s="9"/>
    </row>
    <row r="9" customFormat="false" ht="109.5" hidden="false" customHeight="true" outlineLevel="0" collapsed="false">
      <c r="A9" s="7" t="n">
        <v>8</v>
      </c>
      <c r="B9" s="7" t="s">
        <v>48</v>
      </c>
      <c r="C9" s="7" t="n">
        <v>2021</v>
      </c>
      <c r="D9" s="7" t="n">
        <v>357</v>
      </c>
      <c r="E9" s="7" t="n">
        <v>67.5</v>
      </c>
      <c r="F9" s="7" t="s">
        <v>90</v>
      </c>
      <c r="G9" s="7" t="s">
        <v>91</v>
      </c>
      <c r="H9" s="7" t="s">
        <v>92</v>
      </c>
      <c r="I9" s="7" t="s">
        <v>76</v>
      </c>
      <c r="J9" s="7" t="s">
        <v>59</v>
      </c>
      <c r="K9" s="8" t="s">
        <v>93</v>
      </c>
      <c r="L9" s="7" t="s">
        <v>94</v>
      </c>
      <c r="M9" s="9"/>
      <c r="N9" s="9"/>
      <c r="O9" s="9"/>
    </row>
    <row r="10" customFormat="false" ht="109.5" hidden="false" customHeight="true" outlineLevel="0" collapsed="false">
      <c r="A10" s="7" t="n">
        <v>9</v>
      </c>
      <c r="B10" s="7" t="s">
        <v>48</v>
      </c>
      <c r="C10" s="7" t="n">
        <v>2020</v>
      </c>
      <c r="D10" s="7" t="n">
        <v>366</v>
      </c>
      <c r="E10" s="7" t="n">
        <v>58.2</v>
      </c>
      <c r="F10" s="7" t="s">
        <v>95</v>
      </c>
      <c r="G10" s="7" t="s">
        <v>96</v>
      </c>
      <c r="H10" s="7" t="s">
        <v>97</v>
      </c>
      <c r="I10" s="7" t="s">
        <v>98</v>
      </c>
      <c r="J10" s="7" t="s">
        <v>59</v>
      </c>
      <c r="K10" s="8" t="s">
        <v>99</v>
      </c>
      <c r="L10" s="7" t="s">
        <v>100</v>
      </c>
      <c r="M10" s="9"/>
      <c r="N10" s="9"/>
      <c r="O10" s="9"/>
    </row>
    <row r="11" customFormat="false" ht="109.5" hidden="false" customHeight="true" outlineLevel="0" collapsed="false">
      <c r="A11" s="7" t="n">
        <v>10</v>
      </c>
      <c r="B11" s="7" t="s">
        <v>48</v>
      </c>
      <c r="C11" s="7" t="n">
        <v>2022</v>
      </c>
      <c r="D11" s="7" t="n">
        <v>233</v>
      </c>
      <c r="E11" s="7" t="n">
        <v>54.32</v>
      </c>
      <c r="F11" s="7" t="s">
        <v>101</v>
      </c>
      <c r="G11" s="7" t="s">
        <v>102</v>
      </c>
      <c r="H11" s="7" t="s">
        <v>103</v>
      </c>
      <c r="I11" s="7" t="s">
        <v>104</v>
      </c>
      <c r="J11" s="7" t="s">
        <v>59</v>
      </c>
      <c r="K11" s="8" t="s">
        <v>105</v>
      </c>
      <c r="L11" s="7" t="s">
        <v>106</v>
      </c>
      <c r="M11" s="9"/>
      <c r="N11" s="9"/>
      <c r="O11" s="9"/>
    </row>
    <row r="12" customFormat="false" ht="109.5" hidden="false" customHeight="true" outlineLevel="0" collapsed="false">
      <c r="A12" s="7" t="n">
        <v>11</v>
      </c>
      <c r="B12" s="7" t="s">
        <v>48</v>
      </c>
      <c r="C12" s="7" t="n">
        <v>2022</v>
      </c>
      <c r="D12" s="7" t="n">
        <v>186</v>
      </c>
      <c r="E12" s="7" t="n">
        <v>43.37</v>
      </c>
      <c r="F12" s="7" t="s">
        <v>107</v>
      </c>
      <c r="G12" s="7" t="s">
        <v>108</v>
      </c>
      <c r="H12" s="7" t="s">
        <v>109</v>
      </c>
      <c r="I12" s="7" t="s">
        <v>110</v>
      </c>
      <c r="J12" s="7" t="s">
        <v>59</v>
      </c>
      <c r="K12" s="8" t="s">
        <v>111</v>
      </c>
      <c r="L12" s="7" t="s">
        <v>112</v>
      </c>
      <c r="M12" s="9"/>
      <c r="N12" s="9"/>
      <c r="O12" s="9"/>
    </row>
    <row r="13" customFormat="false" ht="109.5" hidden="false" customHeight="true" outlineLevel="0" collapsed="false">
      <c r="A13" s="7" t="n">
        <v>12</v>
      </c>
      <c r="B13" s="7" t="s">
        <v>48</v>
      </c>
      <c r="C13" s="7" t="n">
        <v>2021</v>
      </c>
      <c r="D13" s="7" t="n">
        <v>227</v>
      </c>
      <c r="E13" s="7" t="n">
        <v>42.92</v>
      </c>
      <c r="F13" s="7" t="s">
        <v>113</v>
      </c>
      <c r="G13" s="7" t="s">
        <v>114</v>
      </c>
      <c r="H13" s="7" t="s">
        <v>115</v>
      </c>
      <c r="I13" s="7" t="s">
        <v>76</v>
      </c>
      <c r="J13" s="7" t="s">
        <v>59</v>
      </c>
      <c r="K13" s="8" t="s">
        <v>116</v>
      </c>
      <c r="L13" s="7" t="s">
        <v>117</v>
      </c>
      <c r="M13" s="9"/>
      <c r="N13" s="9"/>
      <c r="O13" s="9"/>
    </row>
    <row r="14" customFormat="false" ht="109.5" hidden="false" customHeight="true" outlineLevel="0" collapsed="false">
      <c r="A14" s="7" t="n">
        <v>13</v>
      </c>
      <c r="B14" s="7" t="s">
        <v>48</v>
      </c>
      <c r="C14" s="7" t="n">
        <v>2022</v>
      </c>
      <c r="D14" s="7" t="n">
        <v>172</v>
      </c>
      <c r="E14" s="7" t="n">
        <v>40.1</v>
      </c>
      <c r="F14" s="7" t="s">
        <v>118</v>
      </c>
      <c r="G14" s="7" t="s">
        <v>119</v>
      </c>
      <c r="H14" s="7" t="s">
        <v>120</v>
      </c>
      <c r="I14" s="7" t="s">
        <v>121</v>
      </c>
      <c r="J14" s="7" t="s">
        <v>59</v>
      </c>
      <c r="K14" s="8" t="s">
        <v>122</v>
      </c>
      <c r="L14" s="7" t="s">
        <v>123</v>
      </c>
      <c r="M14" s="9"/>
      <c r="N14" s="9"/>
      <c r="O14" s="9"/>
    </row>
    <row r="15" customFormat="false" ht="109.5" hidden="false" customHeight="true" outlineLevel="0" collapsed="false">
      <c r="A15" s="7" t="n">
        <v>14</v>
      </c>
      <c r="B15" s="7" t="s">
        <v>48</v>
      </c>
      <c r="C15" s="7" t="n">
        <v>2021</v>
      </c>
      <c r="D15" s="7" t="n">
        <v>212</v>
      </c>
      <c r="E15" s="7" t="n">
        <v>40.08</v>
      </c>
      <c r="F15" s="7" t="s">
        <v>124</v>
      </c>
      <c r="G15" s="7" t="s">
        <v>125</v>
      </c>
      <c r="H15" s="7" t="s">
        <v>126</v>
      </c>
      <c r="I15" s="7" t="s">
        <v>76</v>
      </c>
      <c r="J15" s="7" t="s">
        <v>59</v>
      </c>
      <c r="K15" s="8" t="s">
        <v>127</v>
      </c>
      <c r="L15" s="7" t="s">
        <v>128</v>
      </c>
      <c r="M15" s="9"/>
      <c r="N15" s="9"/>
      <c r="O15" s="9"/>
    </row>
    <row r="16" customFormat="false" ht="109.5" hidden="false" customHeight="true" outlineLevel="0" collapsed="false">
      <c r="A16" s="7" t="n">
        <v>15</v>
      </c>
      <c r="B16" s="7" t="s">
        <v>48</v>
      </c>
      <c r="C16" s="7" t="n">
        <v>2019</v>
      </c>
      <c r="D16" s="7" t="n">
        <v>283</v>
      </c>
      <c r="E16" s="7" t="n">
        <v>38.83</v>
      </c>
      <c r="F16" s="7" t="s">
        <v>129</v>
      </c>
      <c r="G16" s="7" t="s">
        <v>130</v>
      </c>
      <c r="H16" s="7" t="s">
        <v>131</v>
      </c>
      <c r="I16" s="7" t="s">
        <v>132</v>
      </c>
      <c r="J16" s="7" t="s">
        <v>52</v>
      </c>
      <c r="K16" s="8" t="s">
        <v>133</v>
      </c>
      <c r="L16" s="7" t="s">
        <v>134</v>
      </c>
      <c r="M16" s="9"/>
      <c r="N16" s="9"/>
      <c r="O16" s="9"/>
    </row>
    <row r="17" customFormat="false" ht="109.5" hidden="false" customHeight="true" outlineLevel="0" collapsed="false">
      <c r="A17" s="7" t="n">
        <v>16</v>
      </c>
      <c r="B17" s="7" t="s">
        <v>48</v>
      </c>
      <c r="C17" s="7" t="n">
        <v>2020</v>
      </c>
      <c r="D17" s="7" t="n">
        <v>240</v>
      </c>
      <c r="E17" s="7" t="n">
        <v>38.16</v>
      </c>
      <c r="F17" s="7" t="s">
        <v>135</v>
      </c>
      <c r="G17" s="7" t="s">
        <v>136</v>
      </c>
      <c r="H17" s="7" t="s">
        <v>137</v>
      </c>
      <c r="I17" s="7" t="s">
        <v>138</v>
      </c>
      <c r="J17" s="7" t="s">
        <v>59</v>
      </c>
      <c r="K17" s="8" t="s">
        <v>139</v>
      </c>
      <c r="L17" s="7" t="s">
        <v>140</v>
      </c>
      <c r="M17" s="9"/>
      <c r="N17" s="9"/>
      <c r="O17" s="9"/>
    </row>
    <row r="18" customFormat="false" ht="109.5" hidden="false" customHeight="true" outlineLevel="0" collapsed="false">
      <c r="A18" s="7" t="n">
        <v>17</v>
      </c>
      <c r="B18" s="7" t="s">
        <v>48</v>
      </c>
      <c r="C18" s="7" t="n">
        <v>2022</v>
      </c>
      <c r="D18" s="7" t="n">
        <v>160</v>
      </c>
      <c r="E18" s="7" t="n">
        <v>37.3</v>
      </c>
      <c r="F18" s="7" t="s">
        <v>141</v>
      </c>
      <c r="G18" s="7" t="s">
        <v>142</v>
      </c>
      <c r="H18" s="7" t="s">
        <v>143</v>
      </c>
      <c r="I18" s="7" t="s">
        <v>144</v>
      </c>
      <c r="J18" s="7" t="s">
        <v>59</v>
      </c>
      <c r="K18" s="8" t="s">
        <v>145</v>
      </c>
      <c r="L18" s="7" t="s">
        <v>146</v>
      </c>
      <c r="M18" s="9"/>
      <c r="N18" s="9"/>
      <c r="O18" s="9"/>
    </row>
    <row r="19" customFormat="false" ht="109.5" hidden="false" customHeight="true" outlineLevel="0" collapsed="false">
      <c r="A19" s="7" t="n">
        <v>18</v>
      </c>
      <c r="B19" s="7" t="s">
        <v>48</v>
      </c>
      <c r="C19" s="7" t="n">
        <v>2019</v>
      </c>
      <c r="D19" s="7" t="n">
        <v>270</v>
      </c>
      <c r="E19" s="7" t="n">
        <v>37.04</v>
      </c>
      <c r="F19" s="7" t="s">
        <v>147</v>
      </c>
      <c r="G19" s="7" t="s">
        <v>148</v>
      </c>
      <c r="H19" s="7" t="s">
        <v>149</v>
      </c>
      <c r="I19" s="7" t="s">
        <v>76</v>
      </c>
      <c r="J19" s="7" t="s">
        <v>59</v>
      </c>
      <c r="K19" s="8" t="s">
        <v>150</v>
      </c>
      <c r="L19" s="7" t="s">
        <v>151</v>
      </c>
      <c r="M19" s="9"/>
      <c r="N19" s="9"/>
      <c r="O19" s="9"/>
    </row>
    <row r="20" customFormat="false" ht="109.5" hidden="false" customHeight="true" outlineLevel="0" collapsed="false">
      <c r="A20" s="7" t="n">
        <v>19</v>
      </c>
      <c r="B20" s="7" t="s">
        <v>48</v>
      </c>
      <c r="C20" s="7" t="n">
        <v>2022</v>
      </c>
      <c r="D20" s="7" t="n">
        <v>158</v>
      </c>
      <c r="E20" s="7" t="n">
        <v>36.84</v>
      </c>
      <c r="F20" s="7" t="s">
        <v>152</v>
      </c>
      <c r="G20" s="7" t="s">
        <v>153</v>
      </c>
      <c r="H20" s="7"/>
      <c r="I20" s="7" t="s">
        <v>87</v>
      </c>
      <c r="J20" s="7" t="s">
        <v>52</v>
      </c>
      <c r="K20" s="8" t="s">
        <v>154</v>
      </c>
      <c r="L20" s="7" t="s">
        <v>155</v>
      </c>
      <c r="M20" s="9"/>
      <c r="N20" s="9"/>
      <c r="O20" s="9"/>
    </row>
    <row r="21" customFormat="false" ht="109.5" hidden="false" customHeight="true" outlineLevel="0" collapsed="false">
      <c r="A21" s="7" t="n">
        <v>20</v>
      </c>
      <c r="B21" s="7" t="s">
        <v>48</v>
      </c>
      <c r="C21" s="7" t="n">
        <v>2019</v>
      </c>
      <c r="D21" s="7" t="n">
        <v>261</v>
      </c>
      <c r="E21" s="7" t="n">
        <v>35.81</v>
      </c>
      <c r="F21" s="7" t="s">
        <v>156</v>
      </c>
      <c r="G21" s="7" t="s">
        <v>157</v>
      </c>
      <c r="H21" s="7" t="s">
        <v>158</v>
      </c>
      <c r="I21" s="7" t="s">
        <v>159</v>
      </c>
      <c r="J21" s="7" t="s">
        <v>59</v>
      </c>
      <c r="K21" s="8" t="s">
        <v>160</v>
      </c>
      <c r="L21" s="7" t="s">
        <v>161</v>
      </c>
      <c r="M21" s="9"/>
      <c r="N21" s="9"/>
      <c r="O21" s="9"/>
    </row>
    <row r="22" customFormat="false" ht="109.5" hidden="false" customHeight="true" outlineLevel="0" collapsed="false">
      <c r="A22" s="7" t="n">
        <v>21</v>
      </c>
      <c r="B22" s="7" t="s">
        <v>48</v>
      </c>
      <c r="C22" s="7" t="n">
        <v>2020</v>
      </c>
      <c r="D22" s="7" t="n">
        <v>224</v>
      </c>
      <c r="E22" s="7" t="n">
        <v>35.62</v>
      </c>
      <c r="F22" s="7" t="s">
        <v>162</v>
      </c>
      <c r="G22" s="7" t="s">
        <v>163</v>
      </c>
      <c r="H22" s="7"/>
      <c r="I22" s="7" t="s">
        <v>164</v>
      </c>
      <c r="J22" s="7" t="s">
        <v>52</v>
      </c>
      <c r="K22" s="8" t="s">
        <v>165</v>
      </c>
      <c r="L22" s="7" t="s">
        <v>166</v>
      </c>
      <c r="M22" s="9"/>
      <c r="N22" s="9"/>
      <c r="O22" s="9"/>
    </row>
    <row r="23" customFormat="false" ht="109.5" hidden="false" customHeight="true" outlineLevel="0" collapsed="false">
      <c r="A23" s="7" t="n">
        <v>22</v>
      </c>
      <c r="B23" s="7" t="s">
        <v>48</v>
      </c>
      <c r="C23" s="7" t="n">
        <v>2020</v>
      </c>
      <c r="D23" s="7" t="n">
        <v>223</v>
      </c>
      <c r="E23" s="7" t="n">
        <v>35.46</v>
      </c>
      <c r="F23" s="7" t="s">
        <v>167</v>
      </c>
      <c r="G23" s="7" t="s">
        <v>168</v>
      </c>
      <c r="H23" s="7" t="s">
        <v>169</v>
      </c>
      <c r="I23" s="7" t="s">
        <v>121</v>
      </c>
      <c r="J23" s="7" t="s">
        <v>59</v>
      </c>
      <c r="K23" s="8" t="s">
        <v>170</v>
      </c>
      <c r="L23" s="7" t="s">
        <v>171</v>
      </c>
      <c r="M23" s="9"/>
      <c r="N23" s="9"/>
      <c r="O23" s="9"/>
    </row>
    <row r="24" customFormat="false" ht="109.5" hidden="false" customHeight="true" outlineLevel="0" collapsed="false">
      <c r="A24" s="7" t="n">
        <v>23</v>
      </c>
      <c r="B24" s="7" t="s">
        <v>48</v>
      </c>
      <c r="C24" s="7" t="n">
        <v>2022</v>
      </c>
      <c r="D24" s="7" t="n">
        <v>152</v>
      </c>
      <c r="E24" s="7" t="n">
        <v>35.44</v>
      </c>
      <c r="F24" s="7" t="s">
        <v>172</v>
      </c>
      <c r="G24" s="7" t="s">
        <v>173</v>
      </c>
      <c r="H24" s="7" t="s">
        <v>174</v>
      </c>
      <c r="I24" s="7" t="s">
        <v>121</v>
      </c>
      <c r="J24" s="7" t="s">
        <v>59</v>
      </c>
      <c r="K24" s="8" t="s">
        <v>175</v>
      </c>
      <c r="L24" s="7" t="s">
        <v>176</v>
      </c>
      <c r="M24" s="9"/>
      <c r="N24" s="9"/>
      <c r="O24" s="9"/>
    </row>
    <row r="25" customFormat="false" ht="109.5" hidden="false" customHeight="true" outlineLevel="0" collapsed="false">
      <c r="A25" s="7" t="n">
        <v>24</v>
      </c>
      <c r="B25" s="7" t="s">
        <v>48</v>
      </c>
      <c r="C25" s="7" t="n">
        <v>2023</v>
      </c>
      <c r="D25" s="7" t="n">
        <v>116</v>
      </c>
      <c r="E25" s="7" t="n">
        <v>35.27</v>
      </c>
      <c r="F25" s="7" t="s">
        <v>177</v>
      </c>
      <c r="G25" s="7" t="s">
        <v>178</v>
      </c>
      <c r="H25" s="7" t="s">
        <v>179</v>
      </c>
      <c r="I25" s="7" t="s">
        <v>76</v>
      </c>
      <c r="J25" s="7" t="s">
        <v>59</v>
      </c>
      <c r="K25" s="8" t="s">
        <v>180</v>
      </c>
      <c r="L25" s="7" t="s">
        <v>181</v>
      </c>
      <c r="M25" s="9"/>
      <c r="N25" s="9"/>
      <c r="O25" s="9"/>
    </row>
    <row r="26" customFormat="false" ht="109.5" hidden="false" customHeight="true" outlineLevel="0" collapsed="false">
      <c r="A26" s="7" t="n">
        <v>25</v>
      </c>
      <c r="B26" s="7" t="s">
        <v>48</v>
      </c>
      <c r="C26" s="7" t="n">
        <v>2021</v>
      </c>
      <c r="D26" s="7" t="n">
        <v>185</v>
      </c>
      <c r="E26" s="7" t="n">
        <v>34.98</v>
      </c>
      <c r="F26" s="7" t="s">
        <v>182</v>
      </c>
      <c r="G26" s="7" t="s">
        <v>183</v>
      </c>
      <c r="H26" s="7" t="s">
        <v>184</v>
      </c>
      <c r="I26" s="7" t="s">
        <v>76</v>
      </c>
      <c r="J26" s="7" t="s">
        <v>59</v>
      </c>
      <c r="K26" s="8" t="s">
        <v>185</v>
      </c>
      <c r="L26" s="7" t="s">
        <v>186</v>
      </c>
      <c r="M26" s="9"/>
      <c r="N26" s="9"/>
      <c r="O26" s="9"/>
    </row>
    <row r="27" customFormat="false" ht="109.5" hidden="false" customHeight="true" outlineLevel="0" collapsed="false">
      <c r="A27" s="7" t="n">
        <v>26</v>
      </c>
      <c r="B27" s="7" t="s">
        <v>48</v>
      </c>
      <c r="C27" s="7" t="n">
        <v>2023</v>
      </c>
      <c r="D27" s="7" t="n">
        <v>114</v>
      </c>
      <c r="E27" s="7" t="n">
        <v>34.66</v>
      </c>
      <c r="F27" s="7" t="s">
        <v>187</v>
      </c>
      <c r="G27" s="7" t="s">
        <v>188</v>
      </c>
      <c r="H27" s="7" t="s">
        <v>189</v>
      </c>
      <c r="I27" s="7" t="s">
        <v>190</v>
      </c>
      <c r="J27" s="7" t="s">
        <v>59</v>
      </c>
      <c r="K27" s="8" t="s">
        <v>191</v>
      </c>
      <c r="L27" s="7" t="s">
        <v>192</v>
      </c>
      <c r="M27" s="9"/>
      <c r="N27" s="9"/>
      <c r="O27" s="9"/>
    </row>
    <row r="28" customFormat="false" ht="109.5" hidden="false" customHeight="true" outlineLevel="0" collapsed="false">
      <c r="A28" s="7" t="n">
        <v>27</v>
      </c>
      <c r="B28" s="7" t="s">
        <v>48</v>
      </c>
      <c r="C28" s="7" t="n">
        <v>2020</v>
      </c>
      <c r="D28" s="7" t="n">
        <v>215</v>
      </c>
      <c r="E28" s="7" t="n">
        <v>34.19</v>
      </c>
      <c r="F28" s="7" t="s">
        <v>193</v>
      </c>
      <c r="G28" s="7" t="s">
        <v>194</v>
      </c>
      <c r="H28" s="7"/>
      <c r="I28" s="7" t="s">
        <v>195</v>
      </c>
      <c r="J28" s="7" t="s">
        <v>52</v>
      </c>
      <c r="K28" s="8" t="s">
        <v>196</v>
      </c>
      <c r="L28" s="7" t="s">
        <v>197</v>
      </c>
      <c r="M28" s="9"/>
      <c r="N28" s="9"/>
      <c r="O28" s="9"/>
    </row>
    <row r="29" customFormat="false" ht="109.5" hidden="false" customHeight="true" outlineLevel="0" collapsed="false">
      <c r="A29" s="7" t="n">
        <v>28</v>
      </c>
      <c r="B29" s="7" t="s">
        <v>48</v>
      </c>
      <c r="C29" s="7" t="n">
        <v>2020</v>
      </c>
      <c r="D29" s="7" t="n">
        <v>211</v>
      </c>
      <c r="E29" s="7" t="n">
        <v>33.55</v>
      </c>
      <c r="F29" s="7" t="s">
        <v>198</v>
      </c>
      <c r="G29" s="7" t="s">
        <v>199</v>
      </c>
      <c r="H29" s="7" t="s">
        <v>200</v>
      </c>
      <c r="I29" s="7" t="s">
        <v>144</v>
      </c>
      <c r="J29" s="7" t="s">
        <v>59</v>
      </c>
      <c r="K29" s="8" t="s">
        <v>201</v>
      </c>
      <c r="L29" s="7" t="s">
        <v>202</v>
      </c>
      <c r="M29" s="9"/>
      <c r="N29" s="9"/>
      <c r="O29" s="9"/>
    </row>
    <row r="30" customFormat="false" ht="109.5" hidden="false" customHeight="true" outlineLevel="0" collapsed="false">
      <c r="A30" s="7" t="n">
        <v>29</v>
      </c>
      <c r="B30" s="7" t="s">
        <v>48</v>
      </c>
      <c r="C30" s="7" t="n">
        <v>2023</v>
      </c>
      <c r="D30" s="7" t="n">
        <v>107</v>
      </c>
      <c r="E30" s="7" t="n">
        <v>32.53</v>
      </c>
      <c r="F30" s="7" t="s">
        <v>203</v>
      </c>
      <c r="G30" s="7" t="s">
        <v>204</v>
      </c>
      <c r="H30" s="7" t="s">
        <v>205</v>
      </c>
      <c r="I30" s="7" t="s">
        <v>206</v>
      </c>
      <c r="J30" s="7" t="s">
        <v>59</v>
      </c>
      <c r="K30" s="8" t="s">
        <v>207</v>
      </c>
      <c r="L30" s="7" t="s">
        <v>208</v>
      </c>
      <c r="M30" s="9"/>
      <c r="N30" s="9"/>
      <c r="O30" s="9"/>
    </row>
    <row r="31" customFormat="false" ht="109.5" hidden="false" customHeight="true" outlineLevel="0" collapsed="false">
      <c r="A31" s="7" t="n">
        <v>30</v>
      </c>
      <c r="B31" s="7" t="s">
        <v>48</v>
      </c>
      <c r="C31" s="7" t="n">
        <v>2019</v>
      </c>
      <c r="D31" s="7" t="n">
        <v>225</v>
      </c>
      <c r="E31" s="7" t="n">
        <v>30.87</v>
      </c>
      <c r="F31" s="7" t="s">
        <v>209</v>
      </c>
      <c r="G31" s="7" t="s">
        <v>210</v>
      </c>
      <c r="H31" s="7"/>
      <c r="I31" s="7" t="s">
        <v>211</v>
      </c>
      <c r="J31" s="7" t="s">
        <v>59</v>
      </c>
      <c r="K31" s="8" t="s">
        <v>212</v>
      </c>
      <c r="L31" s="7" t="s">
        <v>213</v>
      </c>
      <c r="M31" s="9"/>
      <c r="N31" s="9"/>
      <c r="O31" s="9"/>
    </row>
    <row r="32" customFormat="false" ht="109.5" hidden="false" customHeight="true" outlineLevel="0" collapsed="false">
      <c r="A32" s="7" t="n">
        <v>31</v>
      </c>
      <c r="B32" s="7" t="s">
        <v>48</v>
      </c>
      <c r="C32" s="7" t="n">
        <v>2023</v>
      </c>
      <c r="D32" s="7" t="n">
        <v>99</v>
      </c>
      <c r="E32" s="7" t="n">
        <v>30.1</v>
      </c>
      <c r="F32" s="7" t="s">
        <v>214</v>
      </c>
      <c r="G32" s="7" t="s">
        <v>215</v>
      </c>
      <c r="H32" s="7" t="s">
        <v>216</v>
      </c>
      <c r="I32" s="7" t="s">
        <v>217</v>
      </c>
      <c r="J32" s="7" t="s">
        <v>59</v>
      </c>
      <c r="K32" s="8" t="s">
        <v>218</v>
      </c>
      <c r="L32" s="7" t="s">
        <v>219</v>
      </c>
      <c r="M32" s="9"/>
      <c r="N32" s="9"/>
      <c r="O32" s="9"/>
    </row>
    <row r="33" customFormat="false" ht="109.5" hidden="false" customHeight="true" outlineLevel="0" collapsed="false">
      <c r="A33" s="7" t="n">
        <v>32</v>
      </c>
      <c r="B33" s="7" t="s">
        <v>48</v>
      </c>
      <c r="C33" s="7" t="n">
        <v>2022</v>
      </c>
      <c r="D33" s="7" t="n">
        <v>127</v>
      </c>
      <c r="E33" s="7" t="n">
        <v>29.61</v>
      </c>
      <c r="F33" s="7" t="s">
        <v>220</v>
      </c>
      <c r="G33" s="7" t="s">
        <v>221</v>
      </c>
      <c r="H33" s="7" t="s">
        <v>222</v>
      </c>
      <c r="I33" s="7" t="s">
        <v>223</v>
      </c>
      <c r="J33" s="7" t="s">
        <v>59</v>
      </c>
      <c r="K33" s="8" t="s">
        <v>224</v>
      </c>
      <c r="L33" s="7" t="s">
        <v>225</v>
      </c>
      <c r="M33" s="9"/>
      <c r="N33" s="9"/>
      <c r="O33" s="9"/>
    </row>
    <row r="34" customFormat="false" ht="109.5" hidden="false" customHeight="true" outlineLevel="0" collapsed="false">
      <c r="A34" s="7" t="n">
        <v>33</v>
      </c>
      <c r="B34" s="7" t="s">
        <v>48</v>
      </c>
      <c r="C34" s="7" t="n">
        <v>2021</v>
      </c>
      <c r="D34" s="7" t="n">
        <v>155</v>
      </c>
      <c r="E34" s="7" t="n">
        <v>29.31</v>
      </c>
      <c r="F34" s="7" t="s">
        <v>226</v>
      </c>
      <c r="G34" s="7" t="s">
        <v>227</v>
      </c>
      <c r="H34" s="7" t="s">
        <v>228</v>
      </c>
      <c r="I34" s="7" t="s">
        <v>76</v>
      </c>
      <c r="J34" s="7" t="s">
        <v>59</v>
      </c>
      <c r="K34" s="8" t="s">
        <v>229</v>
      </c>
      <c r="L34" s="7" t="s">
        <v>230</v>
      </c>
      <c r="M34" s="9"/>
      <c r="N34" s="9"/>
      <c r="O34" s="9"/>
    </row>
    <row r="35" customFormat="false" ht="109.5" hidden="false" customHeight="true" outlineLevel="0" collapsed="false">
      <c r="A35" s="7" t="n">
        <v>34</v>
      </c>
      <c r="B35" s="7" t="s">
        <v>48</v>
      </c>
      <c r="C35" s="7" t="n">
        <v>2023</v>
      </c>
      <c r="D35" s="7" t="n">
        <v>96</v>
      </c>
      <c r="E35" s="7" t="n">
        <v>29.19</v>
      </c>
      <c r="F35" s="7" t="s">
        <v>231</v>
      </c>
      <c r="G35" s="7" t="s">
        <v>232</v>
      </c>
      <c r="H35" s="7" t="s">
        <v>233</v>
      </c>
      <c r="I35" s="7" t="s">
        <v>76</v>
      </c>
      <c r="J35" s="7" t="s">
        <v>59</v>
      </c>
      <c r="K35" s="8" t="s">
        <v>234</v>
      </c>
      <c r="L35" s="7" t="s">
        <v>235</v>
      </c>
      <c r="M35" s="9"/>
      <c r="N35" s="9"/>
      <c r="O35" s="9"/>
    </row>
    <row r="36" customFormat="false" ht="109.5" hidden="false" customHeight="true" outlineLevel="0" collapsed="false">
      <c r="A36" s="7" t="n">
        <v>35</v>
      </c>
      <c r="B36" s="7" t="s">
        <v>48</v>
      </c>
      <c r="C36" s="7" t="n">
        <v>2019</v>
      </c>
      <c r="D36" s="7" t="n">
        <v>197</v>
      </c>
      <c r="E36" s="7" t="n">
        <v>27.03</v>
      </c>
      <c r="F36" s="7" t="s">
        <v>236</v>
      </c>
      <c r="G36" s="7" t="s">
        <v>237</v>
      </c>
      <c r="H36" s="7" t="s">
        <v>238</v>
      </c>
      <c r="I36" s="7" t="s">
        <v>239</v>
      </c>
      <c r="J36" s="7" t="s">
        <v>59</v>
      </c>
      <c r="K36" s="8" t="s">
        <v>240</v>
      </c>
      <c r="L36" s="7" t="s">
        <v>241</v>
      </c>
      <c r="M36" s="9"/>
      <c r="N36" s="9"/>
      <c r="O36" s="9"/>
    </row>
    <row r="37" customFormat="false" ht="109.5" hidden="false" customHeight="true" outlineLevel="0" collapsed="false">
      <c r="A37" s="7" t="n">
        <v>36</v>
      </c>
      <c r="B37" s="7" t="s">
        <v>48</v>
      </c>
      <c r="C37" s="7" t="n">
        <v>2018</v>
      </c>
      <c r="D37" s="7" t="n">
        <v>219</v>
      </c>
      <c r="E37" s="7" t="n">
        <v>26.42</v>
      </c>
      <c r="F37" s="7" t="s">
        <v>242</v>
      </c>
      <c r="G37" s="7" t="s">
        <v>243</v>
      </c>
      <c r="H37" s="7" t="s">
        <v>244</v>
      </c>
      <c r="I37" s="7" t="s">
        <v>245</v>
      </c>
      <c r="J37" s="7" t="s">
        <v>59</v>
      </c>
      <c r="K37" s="8" t="s">
        <v>246</v>
      </c>
      <c r="L37" s="7" t="s">
        <v>247</v>
      </c>
      <c r="M37" s="9"/>
      <c r="N37" s="9"/>
      <c r="O37" s="9"/>
    </row>
    <row r="38" customFormat="false" ht="109.5" hidden="false" customHeight="true" outlineLevel="0" collapsed="false">
      <c r="A38" s="7" t="n">
        <v>37</v>
      </c>
      <c r="B38" s="7" t="s">
        <v>48</v>
      </c>
      <c r="C38" s="7" t="n">
        <v>2022</v>
      </c>
      <c r="D38" s="7" t="n">
        <v>113</v>
      </c>
      <c r="E38" s="7" t="n">
        <v>26.35</v>
      </c>
      <c r="F38" s="7" t="s">
        <v>248</v>
      </c>
      <c r="G38" s="7" t="s">
        <v>249</v>
      </c>
      <c r="H38" s="7"/>
      <c r="I38" s="7" t="s">
        <v>51</v>
      </c>
      <c r="J38" s="7" t="s">
        <v>52</v>
      </c>
      <c r="K38" s="8" t="s">
        <v>250</v>
      </c>
      <c r="L38" s="7" t="s">
        <v>251</v>
      </c>
      <c r="M38" s="9"/>
      <c r="N38" s="9"/>
      <c r="O38" s="9"/>
    </row>
    <row r="39" customFormat="false" ht="109.5" hidden="false" customHeight="true" outlineLevel="0" collapsed="false">
      <c r="A39" s="7" t="n">
        <v>38</v>
      </c>
      <c r="B39" s="7" t="s">
        <v>48</v>
      </c>
      <c r="C39" s="7" t="n">
        <v>2023</v>
      </c>
      <c r="D39" s="7" t="n">
        <v>86</v>
      </c>
      <c r="E39" s="7" t="n">
        <v>26.15</v>
      </c>
      <c r="F39" s="7" t="s">
        <v>252</v>
      </c>
      <c r="G39" s="7" t="s">
        <v>253</v>
      </c>
      <c r="H39" s="7" t="s">
        <v>254</v>
      </c>
      <c r="I39" s="7" t="s">
        <v>138</v>
      </c>
      <c r="J39" s="7" t="s">
        <v>59</v>
      </c>
      <c r="K39" s="8" t="s">
        <v>255</v>
      </c>
      <c r="L39" s="7" t="s">
        <v>256</v>
      </c>
      <c r="M39" s="9"/>
      <c r="N39" s="9"/>
      <c r="O39" s="9"/>
    </row>
    <row r="40" customFormat="false" ht="109.5" hidden="false" customHeight="true" outlineLevel="0" collapsed="false">
      <c r="A40" s="7" t="n">
        <v>39</v>
      </c>
      <c r="B40" s="7" t="s">
        <v>48</v>
      </c>
      <c r="C40" s="7" t="n">
        <v>2023</v>
      </c>
      <c r="D40" s="7" t="n">
        <v>86</v>
      </c>
      <c r="E40" s="7" t="n">
        <v>26.15</v>
      </c>
      <c r="F40" s="7" t="s">
        <v>257</v>
      </c>
      <c r="G40" s="7" t="s">
        <v>258</v>
      </c>
      <c r="H40" s="7" t="s">
        <v>259</v>
      </c>
      <c r="I40" s="7" t="s">
        <v>260</v>
      </c>
      <c r="J40" s="7" t="s">
        <v>59</v>
      </c>
      <c r="K40" s="8" t="s">
        <v>261</v>
      </c>
      <c r="L40" s="7" t="s">
        <v>262</v>
      </c>
      <c r="M40" s="9"/>
      <c r="N40" s="9"/>
      <c r="O40" s="9"/>
    </row>
    <row r="41" customFormat="false" ht="109.5" hidden="false" customHeight="true" outlineLevel="0" collapsed="false">
      <c r="A41" s="7" t="n">
        <v>40</v>
      </c>
      <c r="B41" s="7" t="s">
        <v>48</v>
      </c>
      <c r="C41" s="7" t="n">
        <v>2022</v>
      </c>
      <c r="D41" s="7" t="n">
        <v>107</v>
      </c>
      <c r="E41" s="7" t="n">
        <v>24.95</v>
      </c>
      <c r="F41" s="7" t="s">
        <v>263</v>
      </c>
      <c r="G41" s="7" t="s">
        <v>264</v>
      </c>
      <c r="H41" s="7" t="s">
        <v>265</v>
      </c>
      <c r="I41" s="7" t="s">
        <v>266</v>
      </c>
      <c r="J41" s="7" t="s">
        <v>59</v>
      </c>
      <c r="K41" s="8" t="s">
        <v>267</v>
      </c>
      <c r="L41" s="7" t="s">
        <v>268</v>
      </c>
      <c r="M41" s="9"/>
      <c r="N41" s="9"/>
      <c r="O41" s="9"/>
    </row>
    <row r="42" customFormat="false" ht="109.5" hidden="false" customHeight="true" outlineLevel="0" collapsed="false">
      <c r="A42" s="7" t="n">
        <v>41</v>
      </c>
      <c r="B42" s="7" t="s">
        <v>48</v>
      </c>
      <c r="C42" s="7" t="n">
        <v>2023</v>
      </c>
      <c r="D42" s="7" t="n">
        <v>82</v>
      </c>
      <c r="E42" s="7" t="n">
        <v>24.93</v>
      </c>
      <c r="F42" s="7" t="s">
        <v>269</v>
      </c>
      <c r="G42" s="7" t="s">
        <v>270</v>
      </c>
      <c r="H42" s="7" t="s">
        <v>271</v>
      </c>
      <c r="I42" s="7" t="s">
        <v>272</v>
      </c>
      <c r="J42" s="7" t="s">
        <v>59</v>
      </c>
      <c r="K42" s="8" t="s">
        <v>273</v>
      </c>
      <c r="L42" s="7" t="s">
        <v>274</v>
      </c>
      <c r="M42" s="9"/>
      <c r="N42" s="9"/>
      <c r="O42" s="9"/>
    </row>
    <row r="43" customFormat="false" ht="109.5" hidden="false" customHeight="true" outlineLevel="0" collapsed="false">
      <c r="A43" s="7" t="n">
        <v>42</v>
      </c>
      <c r="B43" s="7" t="s">
        <v>48</v>
      </c>
      <c r="C43" s="7" t="n">
        <v>2022</v>
      </c>
      <c r="D43" s="7" t="n">
        <v>106</v>
      </c>
      <c r="E43" s="7" t="n">
        <v>24.71</v>
      </c>
      <c r="F43" s="7" t="s">
        <v>275</v>
      </c>
      <c r="G43" s="7" t="s">
        <v>276</v>
      </c>
      <c r="H43" s="7" t="s">
        <v>277</v>
      </c>
      <c r="I43" s="7" t="s">
        <v>260</v>
      </c>
      <c r="J43" s="7" t="s">
        <v>59</v>
      </c>
      <c r="K43" s="8" t="s">
        <v>278</v>
      </c>
      <c r="L43" s="7" t="s">
        <v>279</v>
      </c>
      <c r="M43" s="9"/>
      <c r="N43" s="9"/>
      <c r="O43" s="9"/>
    </row>
    <row r="44" customFormat="false" ht="109.5" hidden="false" customHeight="true" outlineLevel="0" collapsed="false">
      <c r="A44" s="7" t="n">
        <v>43</v>
      </c>
      <c r="B44" s="7" t="s">
        <v>48</v>
      </c>
      <c r="C44" s="7" t="n">
        <v>2022</v>
      </c>
      <c r="D44" s="7" t="n">
        <v>103</v>
      </c>
      <c r="E44" s="7" t="n">
        <v>24.01</v>
      </c>
      <c r="F44" s="7" t="s">
        <v>280</v>
      </c>
      <c r="G44" s="7" t="s">
        <v>281</v>
      </c>
      <c r="H44" s="7" t="s">
        <v>282</v>
      </c>
      <c r="I44" s="7" t="s">
        <v>283</v>
      </c>
      <c r="J44" s="7" t="s">
        <v>59</v>
      </c>
      <c r="K44" s="8" t="s">
        <v>284</v>
      </c>
      <c r="L44" s="7" t="s">
        <v>285</v>
      </c>
      <c r="M44" s="9"/>
      <c r="N44" s="9"/>
      <c r="O44" s="9"/>
    </row>
    <row r="45" customFormat="false" ht="109.5" hidden="false" customHeight="true" outlineLevel="0" collapsed="false">
      <c r="A45" s="7" t="n">
        <v>44</v>
      </c>
      <c r="B45" s="7" t="s">
        <v>48</v>
      </c>
      <c r="C45" s="7" t="n">
        <v>2018</v>
      </c>
      <c r="D45" s="7" t="n">
        <v>198</v>
      </c>
      <c r="E45" s="7" t="n">
        <v>23.89</v>
      </c>
      <c r="F45" s="7" t="s">
        <v>286</v>
      </c>
      <c r="G45" s="7" t="s">
        <v>287</v>
      </c>
      <c r="H45" s="7" t="s">
        <v>288</v>
      </c>
      <c r="I45" s="7" t="s">
        <v>289</v>
      </c>
      <c r="J45" s="7" t="s">
        <v>52</v>
      </c>
      <c r="K45" s="8" t="s">
        <v>290</v>
      </c>
      <c r="L45" s="7" t="s">
        <v>291</v>
      </c>
      <c r="M45" s="9"/>
      <c r="N45" s="9"/>
      <c r="O45" s="9"/>
    </row>
    <row r="46" customFormat="false" ht="109.5" hidden="false" customHeight="true" outlineLevel="0" collapsed="false">
      <c r="A46" s="7" t="n">
        <v>45</v>
      </c>
      <c r="B46" s="7" t="s">
        <v>48</v>
      </c>
      <c r="C46" s="7" t="n">
        <v>2023</v>
      </c>
      <c r="D46" s="7" t="n">
        <v>78</v>
      </c>
      <c r="E46" s="7" t="n">
        <v>23.72</v>
      </c>
      <c r="F46" s="7" t="s">
        <v>292</v>
      </c>
      <c r="G46" s="7" t="s">
        <v>293</v>
      </c>
      <c r="H46" s="7" t="s">
        <v>294</v>
      </c>
      <c r="I46" s="7" t="s">
        <v>295</v>
      </c>
      <c r="J46" s="7" t="s">
        <v>59</v>
      </c>
      <c r="K46" s="8" t="s">
        <v>296</v>
      </c>
      <c r="L46" s="7" t="s">
        <v>297</v>
      </c>
      <c r="M46" s="9"/>
      <c r="N46" s="9"/>
      <c r="O46" s="9"/>
    </row>
    <row r="47" customFormat="false" ht="109.5" hidden="false" customHeight="true" outlineLevel="0" collapsed="false">
      <c r="A47" s="7" t="n">
        <v>1</v>
      </c>
      <c r="B47" s="7" t="s">
        <v>298</v>
      </c>
      <c r="C47" s="7" t="n">
        <v>2024</v>
      </c>
      <c r="D47" s="7" t="n">
        <v>182</v>
      </c>
      <c r="E47" s="7" t="n">
        <v>79.51</v>
      </c>
      <c r="F47" s="7" t="s">
        <v>299</v>
      </c>
      <c r="G47" s="7" t="s">
        <v>300</v>
      </c>
      <c r="H47" s="7" t="s">
        <v>301</v>
      </c>
      <c r="I47" s="7" t="s">
        <v>302</v>
      </c>
      <c r="J47" s="7" t="s">
        <v>59</v>
      </c>
      <c r="K47" s="8" t="s">
        <v>303</v>
      </c>
      <c r="L47" s="7" t="s">
        <v>304</v>
      </c>
      <c r="M47" s="9"/>
      <c r="N47" s="9"/>
      <c r="O47" s="9"/>
    </row>
    <row r="48" customFormat="false" ht="109.5" hidden="false" customHeight="true" outlineLevel="0" collapsed="false">
      <c r="A48" s="7" t="n">
        <v>2</v>
      </c>
      <c r="B48" s="7" t="s">
        <v>298</v>
      </c>
      <c r="C48" s="7" t="n">
        <v>2024</v>
      </c>
      <c r="D48" s="7" t="n">
        <v>158</v>
      </c>
      <c r="E48" s="7" t="n">
        <v>69.02</v>
      </c>
      <c r="F48" s="7" t="s">
        <v>305</v>
      </c>
      <c r="G48" s="7" t="s">
        <v>306</v>
      </c>
      <c r="H48" s="7" t="s">
        <v>307</v>
      </c>
      <c r="I48" s="7" t="s">
        <v>308</v>
      </c>
      <c r="J48" s="7" t="s">
        <v>59</v>
      </c>
      <c r="K48" s="8" t="s">
        <v>309</v>
      </c>
      <c r="L48" s="7" t="s">
        <v>310</v>
      </c>
      <c r="M48" s="9"/>
      <c r="N48" s="9"/>
      <c r="O48" s="9"/>
    </row>
    <row r="49" customFormat="false" ht="109.5" hidden="false" customHeight="true" outlineLevel="0" collapsed="false">
      <c r="A49" s="7" t="n">
        <v>3</v>
      </c>
      <c r="B49" s="7" t="s">
        <v>298</v>
      </c>
      <c r="C49" s="7" t="n">
        <v>2024</v>
      </c>
      <c r="D49" s="7" t="n">
        <v>158</v>
      </c>
      <c r="E49" s="7" t="n">
        <v>69.02</v>
      </c>
      <c r="F49" s="7" t="s">
        <v>311</v>
      </c>
      <c r="G49" s="7" t="s">
        <v>312</v>
      </c>
      <c r="H49" s="7" t="s">
        <v>313</v>
      </c>
      <c r="I49" s="7" t="s">
        <v>314</v>
      </c>
      <c r="J49" s="7" t="s">
        <v>59</v>
      </c>
      <c r="K49" s="8" t="s">
        <v>315</v>
      </c>
      <c r="L49" s="7" t="s">
        <v>316</v>
      </c>
      <c r="M49" s="9"/>
      <c r="N49" s="9"/>
      <c r="O49" s="9"/>
    </row>
    <row r="50" customFormat="false" ht="109.5" hidden="false" customHeight="true" outlineLevel="0" collapsed="false">
      <c r="A50" s="7" t="n">
        <v>4</v>
      </c>
      <c r="B50" s="7" t="s">
        <v>298</v>
      </c>
      <c r="C50" s="7" t="n">
        <v>2025</v>
      </c>
      <c r="D50" s="7" t="n">
        <v>87</v>
      </c>
      <c r="E50" s="7" t="n">
        <v>67.49</v>
      </c>
      <c r="F50" s="7" t="s">
        <v>317</v>
      </c>
      <c r="G50" s="7" t="s">
        <v>318</v>
      </c>
      <c r="H50" s="7" t="s">
        <v>319</v>
      </c>
      <c r="I50" s="7" t="s">
        <v>320</v>
      </c>
      <c r="J50" s="7" t="s">
        <v>59</v>
      </c>
      <c r="K50" s="8" t="s">
        <v>321</v>
      </c>
      <c r="L50" s="7" t="s">
        <v>322</v>
      </c>
      <c r="M50" s="9"/>
      <c r="N50" s="9"/>
      <c r="O50" s="9"/>
    </row>
    <row r="51" customFormat="false" ht="109.5" hidden="false" customHeight="true" outlineLevel="0" collapsed="false">
      <c r="A51" s="7" t="n">
        <v>5</v>
      </c>
      <c r="B51" s="7" t="s">
        <v>298</v>
      </c>
      <c r="C51" s="7" t="n">
        <v>2024</v>
      </c>
      <c r="D51" s="7" t="n">
        <v>149</v>
      </c>
      <c r="E51" s="7" t="n">
        <v>65.09</v>
      </c>
      <c r="F51" s="7" t="s">
        <v>323</v>
      </c>
      <c r="G51" s="7" t="s">
        <v>324</v>
      </c>
      <c r="H51" s="7" t="s">
        <v>325</v>
      </c>
      <c r="I51" s="7" t="s">
        <v>326</v>
      </c>
      <c r="J51" s="7" t="s">
        <v>59</v>
      </c>
      <c r="K51" s="8" t="s">
        <v>327</v>
      </c>
      <c r="L51" s="7" t="s">
        <v>328</v>
      </c>
      <c r="M51" s="9"/>
      <c r="N51" s="9"/>
      <c r="O51" s="9"/>
    </row>
    <row r="52" customFormat="false" ht="109.5" hidden="false" customHeight="true" outlineLevel="0" collapsed="false">
      <c r="A52" s="7" t="n">
        <v>6</v>
      </c>
      <c r="B52" s="7" t="s">
        <v>298</v>
      </c>
      <c r="C52" s="7" t="n">
        <v>2025</v>
      </c>
      <c r="D52" s="7" t="n">
        <v>69</v>
      </c>
      <c r="E52" s="7" t="n">
        <v>53.53</v>
      </c>
      <c r="F52" s="7" t="s">
        <v>329</v>
      </c>
      <c r="G52" s="7" t="s">
        <v>330</v>
      </c>
      <c r="H52" s="7" t="s">
        <v>331</v>
      </c>
      <c r="I52" s="7" t="s">
        <v>302</v>
      </c>
      <c r="J52" s="7" t="s">
        <v>59</v>
      </c>
      <c r="K52" s="8" t="s">
        <v>332</v>
      </c>
      <c r="L52" s="7" t="s">
        <v>333</v>
      </c>
      <c r="M52" s="9"/>
      <c r="N52" s="9"/>
      <c r="O52" s="9"/>
    </row>
    <row r="53" customFormat="false" ht="109.5" hidden="false" customHeight="true" outlineLevel="0" collapsed="false">
      <c r="A53" s="7" t="n">
        <v>7</v>
      </c>
      <c r="B53" s="7" t="s">
        <v>298</v>
      </c>
      <c r="C53" s="7" t="n">
        <v>2024</v>
      </c>
      <c r="D53" s="7" t="n">
        <v>109</v>
      </c>
      <c r="E53" s="7" t="n">
        <v>47.62</v>
      </c>
      <c r="F53" s="7" t="s">
        <v>334</v>
      </c>
      <c r="G53" s="7" t="s">
        <v>335</v>
      </c>
      <c r="H53" s="7" t="s">
        <v>336</v>
      </c>
      <c r="I53" s="7" t="s">
        <v>337</v>
      </c>
      <c r="J53" s="7" t="s">
        <v>59</v>
      </c>
      <c r="K53" s="8" t="s">
        <v>338</v>
      </c>
      <c r="L53" s="7" t="s">
        <v>339</v>
      </c>
      <c r="M53" s="9"/>
      <c r="N53" s="9"/>
      <c r="O53" s="9"/>
    </row>
    <row r="54" customFormat="false" ht="109.5" hidden="false" customHeight="true" outlineLevel="0" collapsed="false">
      <c r="A54" s="7" t="n">
        <v>8</v>
      </c>
      <c r="B54" s="7" t="s">
        <v>298</v>
      </c>
      <c r="C54" s="7" t="n">
        <v>2025</v>
      </c>
      <c r="D54" s="7" t="n">
        <v>58</v>
      </c>
      <c r="E54" s="7" t="n">
        <v>44.99</v>
      </c>
      <c r="F54" s="7" t="s">
        <v>340</v>
      </c>
      <c r="G54" s="7" t="s">
        <v>341</v>
      </c>
      <c r="H54" s="7" t="s">
        <v>342</v>
      </c>
      <c r="I54" s="7" t="s">
        <v>272</v>
      </c>
      <c r="J54" s="7" t="s">
        <v>59</v>
      </c>
      <c r="K54" s="8" t="s">
        <v>343</v>
      </c>
      <c r="L54" s="7" t="s">
        <v>344</v>
      </c>
      <c r="M54" s="9"/>
      <c r="N54" s="9"/>
      <c r="O54" s="9"/>
    </row>
    <row r="55" customFormat="false" ht="109.5" hidden="false" customHeight="true" outlineLevel="0" collapsed="false">
      <c r="A55" s="7" t="n">
        <v>9</v>
      </c>
      <c r="B55" s="7" t="s">
        <v>298</v>
      </c>
      <c r="C55" s="7" t="n">
        <v>2025</v>
      </c>
      <c r="D55" s="7" t="n">
        <v>53</v>
      </c>
      <c r="E55" s="7" t="n">
        <v>41.12</v>
      </c>
      <c r="F55" s="7" t="s">
        <v>345</v>
      </c>
      <c r="G55" s="7" t="s">
        <v>346</v>
      </c>
      <c r="H55" s="7" t="s">
        <v>347</v>
      </c>
      <c r="I55" s="7" t="s">
        <v>348</v>
      </c>
      <c r="J55" s="7" t="s">
        <v>59</v>
      </c>
      <c r="K55" s="8" t="s">
        <v>349</v>
      </c>
      <c r="L55" s="7" t="s">
        <v>350</v>
      </c>
      <c r="M55" s="9"/>
      <c r="N55" s="9"/>
      <c r="O55" s="9"/>
    </row>
    <row r="56" customFormat="false" ht="109.5" hidden="false" customHeight="true" outlineLevel="0" collapsed="false">
      <c r="A56" s="7" t="n">
        <v>10</v>
      </c>
      <c r="B56" s="7" t="s">
        <v>298</v>
      </c>
      <c r="C56" s="7" t="n">
        <v>2025</v>
      </c>
      <c r="D56" s="7" t="n">
        <v>51</v>
      </c>
      <c r="E56" s="7" t="n">
        <v>39.56</v>
      </c>
      <c r="F56" s="7" t="s">
        <v>351</v>
      </c>
      <c r="G56" s="7" t="s">
        <v>352</v>
      </c>
      <c r="H56" s="7" t="s">
        <v>353</v>
      </c>
      <c r="I56" s="7" t="s">
        <v>76</v>
      </c>
      <c r="J56" s="7" t="s">
        <v>59</v>
      </c>
      <c r="K56" s="8" t="s">
        <v>354</v>
      </c>
      <c r="L56" s="7" t="s">
        <v>355</v>
      </c>
      <c r="M56" s="9"/>
      <c r="N56" s="9"/>
      <c r="O56" s="9"/>
    </row>
    <row r="57" customFormat="false" ht="109.5" hidden="false" customHeight="true" outlineLevel="0" collapsed="false">
      <c r="A57" s="7" t="n">
        <v>11</v>
      </c>
      <c r="B57" s="7" t="s">
        <v>298</v>
      </c>
      <c r="C57" s="7" t="n">
        <v>2024</v>
      </c>
      <c r="D57" s="7" t="n">
        <v>88</v>
      </c>
      <c r="E57" s="7" t="n">
        <v>38.44</v>
      </c>
      <c r="F57" s="7" t="s">
        <v>356</v>
      </c>
      <c r="G57" s="7" t="s">
        <v>357</v>
      </c>
      <c r="H57" s="7"/>
      <c r="I57" s="7" t="s">
        <v>358</v>
      </c>
      <c r="J57" s="7" t="s">
        <v>52</v>
      </c>
      <c r="K57" s="8" t="s">
        <v>359</v>
      </c>
      <c r="L57" s="7" t="s">
        <v>360</v>
      </c>
      <c r="M57" s="9"/>
      <c r="N57" s="9"/>
      <c r="O57" s="9"/>
    </row>
    <row r="58" customFormat="false" ht="109.5" hidden="false" customHeight="true" outlineLevel="0" collapsed="false">
      <c r="A58" s="7" t="n">
        <v>12</v>
      </c>
      <c r="B58" s="7" t="s">
        <v>298</v>
      </c>
      <c r="C58" s="7" t="n">
        <v>2024</v>
      </c>
      <c r="D58" s="7" t="n">
        <v>86</v>
      </c>
      <c r="E58" s="7" t="n">
        <v>37.57</v>
      </c>
      <c r="F58" s="7" t="s">
        <v>361</v>
      </c>
      <c r="G58" s="7" t="s">
        <v>362</v>
      </c>
      <c r="H58" s="7" t="s">
        <v>363</v>
      </c>
      <c r="I58" s="7" t="s">
        <v>76</v>
      </c>
      <c r="J58" s="7" t="s">
        <v>59</v>
      </c>
      <c r="K58" s="8" t="s">
        <v>364</v>
      </c>
      <c r="L58" s="7" t="s">
        <v>365</v>
      </c>
      <c r="M58" s="9"/>
      <c r="N58" s="9"/>
      <c r="O58" s="9"/>
    </row>
    <row r="59" customFormat="false" ht="109.5" hidden="false" customHeight="true" outlineLevel="0" collapsed="false">
      <c r="A59" s="7" t="n">
        <v>13</v>
      </c>
      <c r="B59" s="7" t="s">
        <v>298</v>
      </c>
      <c r="C59" s="7" t="n">
        <v>2025</v>
      </c>
      <c r="D59" s="7" t="n">
        <v>46</v>
      </c>
      <c r="E59" s="7" t="n">
        <v>35.69</v>
      </c>
      <c r="F59" s="7" t="s">
        <v>366</v>
      </c>
      <c r="G59" s="7" t="s">
        <v>367</v>
      </c>
      <c r="H59" s="7" t="s">
        <v>368</v>
      </c>
      <c r="I59" s="7" t="s">
        <v>369</v>
      </c>
      <c r="J59" s="7" t="s">
        <v>59</v>
      </c>
      <c r="K59" s="8" t="s">
        <v>370</v>
      </c>
      <c r="L59" s="7" t="s">
        <v>371</v>
      </c>
      <c r="M59" s="9"/>
      <c r="N59" s="9"/>
      <c r="O59" s="9"/>
    </row>
    <row r="60" customFormat="false" ht="109.5" hidden="false" customHeight="true" outlineLevel="0" collapsed="false">
      <c r="A60" s="7" t="n">
        <v>14</v>
      </c>
      <c r="B60" s="7" t="s">
        <v>298</v>
      </c>
      <c r="C60" s="7" t="n">
        <v>2025</v>
      </c>
      <c r="D60" s="7" t="n">
        <v>43</v>
      </c>
      <c r="E60" s="7" t="n">
        <v>33.36</v>
      </c>
      <c r="F60" s="7" t="s">
        <v>372</v>
      </c>
      <c r="G60" s="7" t="s">
        <v>373</v>
      </c>
      <c r="H60" s="7" t="s">
        <v>374</v>
      </c>
      <c r="I60" s="7" t="s">
        <v>326</v>
      </c>
      <c r="J60" s="7" t="s">
        <v>59</v>
      </c>
      <c r="K60" s="8" t="s">
        <v>375</v>
      </c>
      <c r="L60" s="7" t="s">
        <v>376</v>
      </c>
      <c r="M60" s="9"/>
      <c r="N60" s="9"/>
      <c r="O60" s="9"/>
    </row>
    <row r="61" customFormat="false" ht="109.5" hidden="false" customHeight="true" outlineLevel="0" collapsed="false">
      <c r="A61" s="7" t="n">
        <v>15</v>
      </c>
      <c r="B61" s="7" t="s">
        <v>298</v>
      </c>
      <c r="C61" s="7" t="n">
        <v>2024</v>
      </c>
      <c r="D61" s="7" t="n">
        <v>76</v>
      </c>
      <c r="E61" s="7" t="n">
        <v>33.2</v>
      </c>
      <c r="F61" s="7" t="s">
        <v>377</v>
      </c>
      <c r="G61" s="7" t="s">
        <v>378</v>
      </c>
      <c r="H61" s="7" t="s">
        <v>379</v>
      </c>
      <c r="I61" s="7" t="s">
        <v>380</v>
      </c>
      <c r="J61" s="7" t="s">
        <v>59</v>
      </c>
      <c r="K61" s="8" t="s">
        <v>381</v>
      </c>
      <c r="L61" s="7" t="s">
        <v>382</v>
      </c>
      <c r="M61" s="9"/>
      <c r="N61" s="9"/>
      <c r="O61" s="9"/>
    </row>
  </sheetData>
  <autoFilter ref="A1:O61"/>
  <conditionalFormatting sqref="A2:O61">
    <cfRule type="expression" priority="2" aboveAverage="0" equalAverage="0" bottom="0" percent="0" rank="0" text="" dxfId="3">
      <formula>$M2="Include"</formula>
    </cfRule>
    <cfRule type="expression" priority="3" aboveAverage="0" equalAverage="0" bottom="0" percent="0" rank="0" text="" dxfId="4">
      <formula>$M2="Exclude"</formula>
    </cfRule>
  </conditionalFormatting>
  <dataValidations count="2">
    <dataValidation allowBlank="true" errorStyle="stop" operator="between" showDropDown="false" showErrorMessage="false" showInputMessage="false" sqref="M2:M61" type="list">
      <formula1>"Include,Exclude,Unsure"</formula1>
      <formula2>0</formula2>
    </dataValidation>
    <dataValidation allowBlank="true" errorStyle="stop" operator="between" showDropDown="false" showErrorMessage="false" showInputMessage="false" sqref="N2:N61" type="list">
      <formula1>"E1,E2,E3,E4"</formula1>
      <formula2>0</formula2>
    </dataValidation>
  </dataValidations>
  <hyperlinks>
    <hyperlink ref="K2" r:id="rId1" display="10.1109/ITSC.2018.8569552"/>
    <hyperlink ref="K3" r:id="rId2" display="10.1109/TCSVT.2022.3168279"/>
    <hyperlink ref="K4" r:id="rId3" display="10.1109/JPROC.2022.3173031"/>
    <hyperlink ref="K5" r:id="rId4" display="10.1109/MCOM.2017.1600238CM"/>
    <hyperlink ref="K6" r:id="rId5" display="10.1109/TITS.2023.3275741"/>
    <hyperlink ref="K7" r:id="rId6" display="10.1016/j.tra.2020.09.018"/>
    <hyperlink ref="K8" r:id="rId7" display="10.1109/IV47402.2020.9304839"/>
    <hyperlink ref="K9" r:id="rId8" display="10.1109/TITS.2020.3041746"/>
    <hyperlink ref="K10" r:id="rId9" display="10.1016/j.trc.2019.11.023"/>
    <hyperlink ref="K11" r:id="rId10" display="10.1007/s10489-021-02893-3"/>
    <hyperlink ref="K12" r:id="rId11" display="10.1109/TNNLS.2021.3080276"/>
    <hyperlink ref="K13" r:id="rId12" display="10.1109/TITS.2020.2983835"/>
    <hyperlink ref="K14" r:id="rId13" display="10.1109/ACCESS.2022.3177904"/>
    <hyperlink ref="K15" r:id="rId14" display="10.1109/TITS.2020.3003782"/>
    <hyperlink ref="K16" r:id="rId15" display="10.1109/UVS.2019.8658300"/>
    <hyperlink ref="K17" r:id="rId16" display="10.1016/j.comcom.2020.04.049"/>
    <hyperlink ref="K18" r:id="rId17" display="10.1109/TVT.2022.3188769"/>
    <hyperlink ref="K19" r:id="rId18" display="10.1109/TITS.2018.2797697"/>
    <hyperlink ref="K20" r:id="rId19" display="10.1109/IV51971.2022.9827305"/>
    <hyperlink ref="K21" r:id="rId20" display="10.1016/j.cose.2019.05.006"/>
    <hyperlink ref="K22" r:id="rId21" display="10.1109/ITSC45102.2020.9294728"/>
    <hyperlink ref="K23" r:id="rId22" display="10.1109/ACCESS.2020.2987622"/>
    <hyperlink ref="K24" r:id="rId23" display="10.1109/ACCESS.2022.3149054"/>
    <hyperlink ref="K25" r:id="rId24" display="10.1109/TITS.2021.3122567"/>
    <hyperlink ref="K26" r:id="rId25" display="10.1109/TITS.2020.3040557"/>
    <hyperlink ref="K27" r:id="rId26" display="10.1016/j.eswa.2023.120845"/>
    <hyperlink ref="K28" r:id="rId27" display="10.1109/ICRA40945.2020.9196845"/>
    <hyperlink ref="K29" r:id="rId28" display="10.1109/TVT.2020.3023861"/>
    <hyperlink ref="K30" r:id="rId29" display="10.1016/j.physa.2023.128980"/>
    <hyperlink ref="K31" r:id="rId30" display="10.1109/MWC.2018.1800155"/>
    <hyperlink ref="K32" r:id="rId31" display="10.1016/j.ejor.2023.02.031"/>
    <hyperlink ref="K33" r:id="rId32" display="10.1109/TII.2021.3101651"/>
    <hyperlink ref="K34" r:id="rId33" display="10.1109/TITS.2020.3020220"/>
    <hyperlink ref="K35" r:id="rId34" display="10.1109/TITS.2023.3252082"/>
    <hyperlink ref="K36" r:id="rId35" display="10.1016/j.aap.2018.12.013"/>
    <hyperlink ref="K37" r:id="rId36" display="10.1002/net.21847"/>
    <hyperlink ref="K38" r:id="rId37" display="10.1109/ITSC55140.2022.9921959"/>
    <hyperlink ref="K39" r:id="rId38" display="10.1016/j.comcom.2023.04.032"/>
    <hyperlink ref="K40" r:id="rId39" display="10.3390/rs15153778"/>
    <hyperlink ref="K41" r:id="rId40" display="10.1109/JIOT.2021.3103391"/>
    <hyperlink ref="K42" r:id="rId41" display="10.1016/j.measurement.2023.113252"/>
    <hyperlink ref="K43" r:id="rId42" display="10.3390/rs14143498"/>
    <hyperlink ref="K44" r:id="rId43" display="10.1007/s11042-021-11146-x"/>
    <hyperlink ref="K45" r:id="rId44" display="10.1109/WCNC.2018.8377077"/>
    <hyperlink ref="K46" r:id="rId45" display="10.1016/j.patcog.2022.109019"/>
    <hyperlink ref="K47" r:id="rId46" display="10.1109/COMST.2023.3312221"/>
    <hyperlink ref="K48" r:id="rId47" display="10.1177/03611981231185768"/>
    <hyperlink ref="K49" r:id="rId48" display="10.1016/j.asoc.2024.112015"/>
    <hyperlink ref="K50" r:id="rId49" display="10.1109/TIV.2024.3414140"/>
    <hyperlink ref="K51" r:id="rId50" display="10.3390/drones8030084"/>
    <hyperlink ref="K52" r:id="rId51" display="10.1109/COMST.2024.3400121"/>
    <hyperlink ref="K53" r:id="rId52" display="10.1016/j.dsp.2024.104594"/>
    <hyperlink ref="K54" r:id="rId53" display="10.1016/j.measurement.2024.116579"/>
    <hyperlink ref="K55" r:id="rId54" display="10.1016/j.compeleceng.2025.110313"/>
    <hyperlink ref="K56" r:id="rId55" display="10.1109/TITS.2024.3445088"/>
    <hyperlink ref="K57" r:id="rId56" display="10.1609/aaai.v38i9.28900"/>
    <hyperlink ref="K58" r:id="rId57" display="10.1109/TITS.2024.3360251"/>
    <hyperlink ref="K59" r:id="rId58" display="10.1016/j.jnca.2025.104134"/>
    <hyperlink ref="K60" r:id="rId59" display="10.3390/drones9010054"/>
    <hyperlink ref="K61" r:id="rId60" display="10.1109/TGRS.2024.34525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6"/>
    <col collapsed="false" customWidth="true" hidden="false" outlineLevel="0" max="5" min="4" style="0" width="8"/>
    <col collapsed="false" customWidth="true" hidden="false" outlineLevel="0" max="6" min="6" style="0" width="45"/>
    <col collapsed="false" customWidth="true" hidden="false" outlineLevel="0" max="7" min="7" style="0" width="90"/>
    <col collapsed="false" customWidth="true" hidden="false" outlineLevel="0" max="8" min="8" style="0" width="30"/>
    <col collapsed="false" customWidth="true" hidden="false" outlineLevel="0" max="9" min="9" style="0" width="25"/>
    <col collapsed="false" customWidth="true" hidden="false" outlineLevel="0" max="10" min="10" style="0" width="12"/>
    <col collapsed="false" customWidth="true" hidden="false" outlineLevel="0" max="11" min="11" style="0" width="22"/>
    <col collapsed="false" customWidth="true" hidden="false" outlineLevel="0" max="12" min="12" style="0" width="20"/>
    <col collapsed="false" customWidth="true" hidden="false" outlineLevel="0" max="13" min="13" style="0" width="11"/>
    <col collapsed="false" customWidth="true" hidden="false" outlineLevel="0" max="14" min="14" style="0" width="9"/>
    <col collapsed="false" customWidth="true" hidden="false" outlineLevel="0" max="15" min="15" style="0" width="30"/>
  </cols>
  <sheetData>
    <row r="1" customFormat="false" ht="23.85" hidden="false" customHeight="false" outlineLevel="0" collapsed="false">
      <c r="A1" s="6" t="s">
        <v>33</v>
      </c>
      <c r="B1" s="6" t="s">
        <v>34</v>
      </c>
      <c r="C1" s="6" t="s">
        <v>35</v>
      </c>
      <c r="D1" s="6" t="s">
        <v>36</v>
      </c>
      <c r="E1" s="6" t="s">
        <v>37</v>
      </c>
      <c r="F1" s="6" t="s">
        <v>38</v>
      </c>
      <c r="G1" s="6" t="s">
        <v>39</v>
      </c>
      <c r="H1" s="6" t="s">
        <v>40</v>
      </c>
      <c r="I1" s="6" t="s">
        <v>41</v>
      </c>
      <c r="J1" s="6" t="s">
        <v>42</v>
      </c>
      <c r="K1" s="6" t="s">
        <v>43</v>
      </c>
      <c r="L1" s="6" t="s">
        <v>44</v>
      </c>
      <c r="M1" s="6" t="s">
        <v>45</v>
      </c>
      <c r="N1" s="6" t="s">
        <v>46</v>
      </c>
      <c r="O1" s="6" t="s">
        <v>47</v>
      </c>
    </row>
    <row r="2" customFormat="false" ht="109.5" hidden="false" customHeight="true" outlineLevel="0" collapsed="false">
      <c r="A2" s="7" t="n">
        <v>1</v>
      </c>
      <c r="B2" s="7" t="s">
        <v>48</v>
      </c>
      <c r="C2" s="7" t="n">
        <v>2017</v>
      </c>
      <c r="D2" s="7" t="n">
        <v>1475</v>
      </c>
      <c r="E2" s="7" t="n">
        <v>158.79</v>
      </c>
      <c r="F2" s="7" t="s">
        <v>383</v>
      </c>
      <c r="G2" s="7" t="s">
        <v>384</v>
      </c>
      <c r="H2" s="7"/>
      <c r="I2" s="7" t="s">
        <v>385</v>
      </c>
      <c r="J2" s="7" t="s">
        <v>52</v>
      </c>
      <c r="K2" s="8" t="s">
        <v>386</v>
      </c>
      <c r="L2" s="7" t="s">
        <v>387</v>
      </c>
      <c r="M2" s="9"/>
      <c r="N2" s="9"/>
      <c r="O2" s="9"/>
    </row>
    <row r="3" customFormat="false" ht="109.5" hidden="false" customHeight="true" outlineLevel="0" collapsed="false">
      <c r="A3" s="7" t="n">
        <v>2</v>
      </c>
      <c r="B3" s="7" t="s">
        <v>48</v>
      </c>
      <c r="C3" s="7" t="n">
        <v>2021</v>
      </c>
      <c r="D3" s="7" t="n">
        <v>567</v>
      </c>
      <c r="E3" s="7" t="n">
        <v>107.2</v>
      </c>
      <c r="F3" s="7" t="s">
        <v>388</v>
      </c>
      <c r="G3" s="7" t="s">
        <v>389</v>
      </c>
      <c r="H3" s="7" t="s">
        <v>390</v>
      </c>
      <c r="I3" s="7" t="s">
        <v>76</v>
      </c>
      <c r="J3" s="7" t="s">
        <v>59</v>
      </c>
      <c r="K3" s="8" t="s">
        <v>391</v>
      </c>
      <c r="L3" s="7" t="s">
        <v>392</v>
      </c>
      <c r="M3" s="9"/>
      <c r="N3" s="9"/>
      <c r="O3" s="9"/>
    </row>
    <row r="4" customFormat="false" ht="109.5" hidden="false" customHeight="true" outlineLevel="0" collapsed="false">
      <c r="A4" s="7" t="n">
        <v>3</v>
      </c>
      <c r="B4" s="7" t="s">
        <v>48</v>
      </c>
      <c r="C4" s="7" t="n">
        <v>2022</v>
      </c>
      <c r="D4" s="7" t="n">
        <v>334</v>
      </c>
      <c r="E4" s="7" t="n">
        <v>77.87</v>
      </c>
      <c r="F4" s="7" t="s">
        <v>393</v>
      </c>
      <c r="G4" s="7" t="s">
        <v>394</v>
      </c>
      <c r="H4" s="7" t="s">
        <v>395</v>
      </c>
      <c r="I4" s="7" t="s">
        <v>76</v>
      </c>
      <c r="J4" s="7" t="s">
        <v>59</v>
      </c>
      <c r="K4" s="8" t="s">
        <v>396</v>
      </c>
      <c r="L4" s="7" t="s">
        <v>397</v>
      </c>
      <c r="M4" s="9"/>
      <c r="N4" s="9"/>
      <c r="O4" s="9"/>
    </row>
    <row r="5" customFormat="false" ht="109.5" hidden="false" customHeight="true" outlineLevel="0" collapsed="false">
      <c r="A5" s="7" t="n">
        <v>4</v>
      </c>
      <c r="B5" s="7" t="s">
        <v>48</v>
      </c>
      <c r="C5" s="7" t="n">
        <v>2023</v>
      </c>
      <c r="D5" s="7" t="n">
        <v>216</v>
      </c>
      <c r="E5" s="7" t="n">
        <v>65.67</v>
      </c>
      <c r="F5" s="7" t="s">
        <v>398</v>
      </c>
      <c r="G5" s="7" t="s">
        <v>399</v>
      </c>
      <c r="H5" s="7" t="s">
        <v>400</v>
      </c>
      <c r="I5" s="7" t="s">
        <v>401</v>
      </c>
      <c r="J5" s="7" t="s">
        <v>59</v>
      </c>
      <c r="K5" s="8" t="s">
        <v>402</v>
      </c>
      <c r="L5" s="7" t="s">
        <v>403</v>
      </c>
      <c r="M5" s="9"/>
      <c r="N5" s="9"/>
      <c r="O5" s="9"/>
    </row>
    <row r="6" customFormat="false" ht="109.5" hidden="false" customHeight="true" outlineLevel="0" collapsed="false">
      <c r="A6" s="7" t="n">
        <v>5</v>
      </c>
      <c r="B6" s="7" t="s">
        <v>48</v>
      </c>
      <c r="C6" s="7" t="n">
        <v>2021</v>
      </c>
      <c r="D6" s="7" t="n">
        <v>324</v>
      </c>
      <c r="E6" s="7" t="n">
        <v>61.26</v>
      </c>
      <c r="F6" s="7" t="s">
        <v>404</v>
      </c>
      <c r="G6" s="7" t="s">
        <v>405</v>
      </c>
      <c r="H6" s="7" t="s">
        <v>406</v>
      </c>
      <c r="I6" s="7" t="s">
        <v>121</v>
      </c>
      <c r="J6" s="7" t="s">
        <v>59</v>
      </c>
      <c r="K6" s="8" t="s">
        <v>407</v>
      </c>
      <c r="L6" s="7" t="s">
        <v>408</v>
      </c>
      <c r="M6" s="9"/>
      <c r="N6" s="9"/>
      <c r="O6" s="9"/>
    </row>
    <row r="7" customFormat="false" ht="109.5" hidden="false" customHeight="true" outlineLevel="0" collapsed="false">
      <c r="A7" s="7" t="n">
        <v>6</v>
      </c>
      <c r="B7" s="7" t="s">
        <v>48</v>
      </c>
      <c r="C7" s="7" t="n">
        <v>2018</v>
      </c>
      <c r="D7" s="7" t="n">
        <v>457</v>
      </c>
      <c r="E7" s="7" t="n">
        <v>55.13</v>
      </c>
      <c r="F7" s="7" t="s">
        <v>409</v>
      </c>
      <c r="G7" s="7" t="s">
        <v>410</v>
      </c>
      <c r="H7" s="7"/>
      <c r="I7" s="7" t="s">
        <v>411</v>
      </c>
      <c r="J7" s="7" t="s">
        <v>52</v>
      </c>
      <c r="K7" s="8" t="s">
        <v>412</v>
      </c>
      <c r="L7" s="7" t="s">
        <v>413</v>
      </c>
      <c r="M7" s="9"/>
      <c r="N7" s="9"/>
      <c r="O7" s="9"/>
    </row>
    <row r="8" customFormat="false" ht="109.5" hidden="false" customHeight="true" outlineLevel="0" collapsed="false">
      <c r="A8" s="7" t="n">
        <v>7</v>
      </c>
      <c r="B8" s="7" t="s">
        <v>48</v>
      </c>
      <c r="C8" s="7" t="n">
        <v>2020</v>
      </c>
      <c r="D8" s="7" t="n">
        <v>342</v>
      </c>
      <c r="E8" s="7" t="n">
        <v>54.38</v>
      </c>
      <c r="F8" s="7" t="s">
        <v>414</v>
      </c>
      <c r="G8" s="7" t="s">
        <v>415</v>
      </c>
      <c r="H8" s="7" t="s">
        <v>416</v>
      </c>
      <c r="I8" s="7" t="s">
        <v>121</v>
      </c>
      <c r="J8" s="7" t="s">
        <v>59</v>
      </c>
      <c r="K8" s="8" t="s">
        <v>417</v>
      </c>
      <c r="L8" s="7" t="s">
        <v>418</v>
      </c>
      <c r="M8" s="9"/>
      <c r="N8" s="9"/>
      <c r="O8" s="9"/>
    </row>
    <row r="9" customFormat="false" ht="109.5" hidden="false" customHeight="true" outlineLevel="0" collapsed="false">
      <c r="A9" s="7" t="n">
        <v>8</v>
      </c>
      <c r="B9" s="7" t="s">
        <v>48</v>
      </c>
      <c r="C9" s="7" t="n">
        <v>2018</v>
      </c>
      <c r="D9" s="7" t="n">
        <v>441</v>
      </c>
      <c r="E9" s="7" t="n">
        <v>53.2</v>
      </c>
      <c r="F9" s="7" t="s">
        <v>419</v>
      </c>
      <c r="G9" s="7" t="s">
        <v>420</v>
      </c>
      <c r="H9" s="7"/>
      <c r="I9" s="7" t="s">
        <v>70</v>
      </c>
      <c r="J9" s="7" t="s">
        <v>59</v>
      </c>
      <c r="K9" s="8" t="s">
        <v>421</v>
      </c>
      <c r="L9" s="7" t="s">
        <v>422</v>
      </c>
      <c r="M9" s="9"/>
      <c r="N9" s="9"/>
      <c r="O9" s="9"/>
    </row>
    <row r="10" customFormat="false" ht="109.5" hidden="false" customHeight="true" outlineLevel="0" collapsed="false">
      <c r="A10" s="7" t="n">
        <v>9</v>
      </c>
      <c r="B10" s="7" t="s">
        <v>48</v>
      </c>
      <c r="C10" s="7" t="n">
        <v>2019</v>
      </c>
      <c r="D10" s="7" t="n">
        <v>371</v>
      </c>
      <c r="E10" s="7" t="n">
        <v>50.9</v>
      </c>
      <c r="F10" s="7" t="s">
        <v>423</v>
      </c>
      <c r="G10" s="7" t="s">
        <v>424</v>
      </c>
      <c r="H10" s="7" t="s">
        <v>425</v>
      </c>
      <c r="I10" s="7" t="s">
        <v>121</v>
      </c>
      <c r="J10" s="7" t="s">
        <v>59</v>
      </c>
      <c r="K10" s="8" t="s">
        <v>426</v>
      </c>
      <c r="L10" s="7" t="s">
        <v>427</v>
      </c>
      <c r="M10" s="9"/>
      <c r="N10" s="9"/>
      <c r="O10" s="9"/>
    </row>
    <row r="11" customFormat="false" ht="109.5" hidden="false" customHeight="true" outlineLevel="0" collapsed="false">
      <c r="A11" s="7" t="n">
        <v>10</v>
      </c>
      <c r="B11" s="7" t="s">
        <v>48</v>
      </c>
      <c r="C11" s="7" t="n">
        <v>2022</v>
      </c>
      <c r="D11" s="7" t="n">
        <v>208</v>
      </c>
      <c r="E11" s="7" t="n">
        <v>48.5</v>
      </c>
      <c r="F11" s="7" t="s">
        <v>428</v>
      </c>
      <c r="G11" s="7" t="s">
        <v>429</v>
      </c>
      <c r="H11" s="7" t="s">
        <v>430</v>
      </c>
      <c r="I11" s="7" t="s">
        <v>431</v>
      </c>
      <c r="J11" s="7" t="s">
        <v>59</v>
      </c>
      <c r="K11" s="8" t="s">
        <v>432</v>
      </c>
      <c r="L11" s="7" t="s">
        <v>433</v>
      </c>
      <c r="M11" s="9"/>
      <c r="N11" s="9"/>
      <c r="O11" s="9"/>
    </row>
    <row r="12" customFormat="false" ht="109.5" hidden="false" customHeight="true" outlineLevel="0" collapsed="false">
      <c r="A12" s="7" t="n">
        <v>11</v>
      </c>
      <c r="B12" s="7" t="s">
        <v>48</v>
      </c>
      <c r="C12" s="7" t="n">
        <v>2016</v>
      </c>
      <c r="D12" s="7" t="n">
        <v>478</v>
      </c>
      <c r="E12" s="7" t="n">
        <v>46.46</v>
      </c>
      <c r="F12" s="7" t="s">
        <v>434</v>
      </c>
      <c r="G12" s="7" t="s">
        <v>435</v>
      </c>
      <c r="H12" s="7" t="s">
        <v>436</v>
      </c>
      <c r="I12" s="7" t="s">
        <v>121</v>
      </c>
      <c r="J12" s="7" t="s">
        <v>59</v>
      </c>
      <c r="K12" s="8" t="s">
        <v>437</v>
      </c>
      <c r="L12" s="7" t="s">
        <v>438</v>
      </c>
      <c r="M12" s="9"/>
      <c r="N12" s="9"/>
      <c r="O12" s="9"/>
    </row>
    <row r="13" customFormat="false" ht="109.5" hidden="false" customHeight="true" outlineLevel="0" collapsed="false">
      <c r="A13" s="7" t="n">
        <v>12</v>
      </c>
      <c r="B13" s="7" t="s">
        <v>48</v>
      </c>
      <c r="C13" s="7" t="n">
        <v>2019</v>
      </c>
      <c r="D13" s="7" t="n">
        <v>330</v>
      </c>
      <c r="E13" s="7" t="n">
        <v>45.27</v>
      </c>
      <c r="F13" s="7" t="s">
        <v>439</v>
      </c>
      <c r="G13" s="7" t="s">
        <v>440</v>
      </c>
      <c r="H13" s="7" t="s">
        <v>441</v>
      </c>
      <c r="I13" s="7" t="s">
        <v>442</v>
      </c>
      <c r="J13" s="7" t="s">
        <v>59</v>
      </c>
      <c r="K13" s="8" t="s">
        <v>443</v>
      </c>
      <c r="L13" s="7" t="s">
        <v>444</v>
      </c>
      <c r="M13" s="9"/>
      <c r="N13" s="9"/>
      <c r="O13" s="9"/>
    </row>
    <row r="14" customFormat="false" ht="109.5" hidden="false" customHeight="true" outlineLevel="0" collapsed="false">
      <c r="A14" s="7" t="n">
        <v>13</v>
      </c>
      <c r="B14" s="7" t="s">
        <v>48</v>
      </c>
      <c r="C14" s="7" t="n">
        <v>2021</v>
      </c>
      <c r="D14" s="7" t="n">
        <v>232</v>
      </c>
      <c r="E14" s="7" t="n">
        <v>43.86</v>
      </c>
      <c r="F14" s="7" t="s">
        <v>445</v>
      </c>
      <c r="G14" s="7" t="s">
        <v>446</v>
      </c>
      <c r="H14" s="7" t="s">
        <v>447</v>
      </c>
      <c r="I14" s="7" t="s">
        <v>448</v>
      </c>
      <c r="J14" s="7" t="s">
        <v>59</v>
      </c>
      <c r="K14" s="8" t="s">
        <v>449</v>
      </c>
      <c r="L14" s="7" t="s">
        <v>450</v>
      </c>
      <c r="M14" s="9"/>
      <c r="N14" s="9"/>
      <c r="O14" s="9"/>
    </row>
    <row r="15" customFormat="false" ht="109.5" hidden="false" customHeight="true" outlineLevel="0" collapsed="false">
      <c r="A15" s="7" t="n">
        <v>14</v>
      </c>
      <c r="B15" s="7" t="s">
        <v>48</v>
      </c>
      <c r="C15" s="7" t="n">
        <v>2016</v>
      </c>
      <c r="D15" s="7" t="n">
        <v>445</v>
      </c>
      <c r="E15" s="7" t="n">
        <v>43.25</v>
      </c>
      <c r="F15" s="7" t="s">
        <v>451</v>
      </c>
      <c r="G15" s="7" t="s">
        <v>452</v>
      </c>
      <c r="H15" s="7"/>
      <c r="I15" s="7" t="s">
        <v>453</v>
      </c>
      <c r="J15" s="7" t="s">
        <v>52</v>
      </c>
      <c r="K15" s="7"/>
      <c r="L15" s="7" t="s">
        <v>454</v>
      </c>
      <c r="M15" s="9"/>
      <c r="N15" s="9"/>
      <c r="O15" s="9"/>
    </row>
    <row r="16" customFormat="false" ht="109.5" hidden="false" customHeight="true" outlineLevel="0" collapsed="false">
      <c r="A16" s="7" t="n">
        <v>15</v>
      </c>
      <c r="B16" s="7" t="s">
        <v>48</v>
      </c>
      <c r="C16" s="7" t="n">
        <v>2020</v>
      </c>
      <c r="D16" s="7" t="n">
        <v>266</v>
      </c>
      <c r="E16" s="7" t="n">
        <v>42.3</v>
      </c>
      <c r="F16" s="7" t="s">
        <v>455</v>
      </c>
      <c r="G16" s="7" t="s">
        <v>456</v>
      </c>
      <c r="H16" s="7" t="s">
        <v>457</v>
      </c>
      <c r="I16" s="7" t="s">
        <v>458</v>
      </c>
      <c r="J16" s="7" t="s">
        <v>59</v>
      </c>
      <c r="K16" s="8" t="s">
        <v>459</v>
      </c>
      <c r="L16" s="7" t="s">
        <v>460</v>
      </c>
      <c r="M16" s="9"/>
      <c r="N16" s="9"/>
      <c r="O16" s="9"/>
    </row>
    <row r="17" customFormat="false" ht="109.5" hidden="false" customHeight="true" outlineLevel="0" collapsed="false">
      <c r="A17" s="7" t="n">
        <v>16</v>
      </c>
      <c r="B17" s="7" t="s">
        <v>48</v>
      </c>
      <c r="C17" s="7" t="n">
        <v>2019</v>
      </c>
      <c r="D17" s="7" t="n">
        <v>290</v>
      </c>
      <c r="E17" s="7" t="n">
        <v>39.79</v>
      </c>
      <c r="F17" s="7" t="s">
        <v>461</v>
      </c>
      <c r="G17" s="7" t="s">
        <v>462</v>
      </c>
      <c r="H17" s="7" t="s">
        <v>463</v>
      </c>
      <c r="I17" s="7" t="s">
        <v>144</v>
      </c>
      <c r="J17" s="7" t="s">
        <v>59</v>
      </c>
      <c r="K17" s="8" t="s">
        <v>464</v>
      </c>
      <c r="L17" s="7" t="s">
        <v>465</v>
      </c>
      <c r="M17" s="9"/>
      <c r="N17" s="9"/>
      <c r="O17" s="9"/>
    </row>
    <row r="18" customFormat="false" ht="109.5" hidden="false" customHeight="true" outlineLevel="0" collapsed="false">
      <c r="A18" s="7" t="n">
        <v>17</v>
      </c>
      <c r="B18" s="7" t="s">
        <v>48</v>
      </c>
      <c r="C18" s="7" t="n">
        <v>2022</v>
      </c>
      <c r="D18" s="7" t="n">
        <v>169</v>
      </c>
      <c r="E18" s="7" t="n">
        <v>39.4</v>
      </c>
      <c r="F18" s="7" t="s">
        <v>466</v>
      </c>
      <c r="G18" s="7" t="s">
        <v>467</v>
      </c>
      <c r="H18" s="7" t="s">
        <v>468</v>
      </c>
      <c r="I18" s="7" t="s">
        <v>469</v>
      </c>
      <c r="J18" s="7" t="s">
        <v>59</v>
      </c>
      <c r="K18" s="8" t="s">
        <v>470</v>
      </c>
      <c r="L18" s="7" t="s">
        <v>471</v>
      </c>
      <c r="M18" s="9"/>
      <c r="N18" s="9"/>
      <c r="O18" s="9"/>
    </row>
    <row r="19" customFormat="false" ht="109.5" hidden="false" customHeight="true" outlineLevel="0" collapsed="false">
      <c r="A19" s="7" t="n">
        <v>18</v>
      </c>
      <c r="B19" s="7" t="s">
        <v>48</v>
      </c>
      <c r="C19" s="7" t="n">
        <v>2023</v>
      </c>
      <c r="D19" s="7" t="n">
        <v>124</v>
      </c>
      <c r="E19" s="7" t="n">
        <v>37.7</v>
      </c>
      <c r="F19" s="7" t="s">
        <v>472</v>
      </c>
      <c r="G19" s="7" t="s">
        <v>473</v>
      </c>
      <c r="H19" s="7" t="s">
        <v>474</v>
      </c>
      <c r="I19" s="7" t="s">
        <v>475</v>
      </c>
      <c r="J19" s="7" t="s">
        <v>52</v>
      </c>
      <c r="K19" s="8" t="s">
        <v>476</v>
      </c>
      <c r="L19" s="7" t="s">
        <v>477</v>
      </c>
      <c r="M19" s="9"/>
      <c r="N19" s="9"/>
      <c r="O19" s="9"/>
    </row>
    <row r="20" customFormat="false" ht="109.5" hidden="false" customHeight="true" outlineLevel="0" collapsed="false">
      <c r="A20" s="7" t="n">
        <v>19</v>
      </c>
      <c r="B20" s="7" t="s">
        <v>48</v>
      </c>
      <c r="C20" s="7" t="n">
        <v>2020</v>
      </c>
      <c r="D20" s="7" t="n">
        <v>235</v>
      </c>
      <c r="E20" s="7" t="n">
        <v>37.37</v>
      </c>
      <c r="F20" s="7" t="s">
        <v>478</v>
      </c>
      <c r="G20" s="7" t="s">
        <v>479</v>
      </c>
      <c r="H20" s="7" t="s">
        <v>480</v>
      </c>
      <c r="I20" s="7" t="s">
        <v>481</v>
      </c>
      <c r="J20" s="7" t="s">
        <v>59</v>
      </c>
      <c r="K20" s="8" t="s">
        <v>482</v>
      </c>
      <c r="L20" s="7" t="s">
        <v>483</v>
      </c>
      <c r="M20" s="9"/>
      <c r="N20" s="9"/>
      <c r="O20" s="9"/>
    </row>
    <row r="21" customFormat="false" ht="109.5" hidden="false" customHeight="true" outlineLevel="0" collapsed="false">
      <c r="A21" s="7" t="n">
        <v>20</v>
      </c>
      <c r="B21" s="7" t="s">
        <v>48</v>
      </c>
      <c r="C21" s="7" t="n">
        <v>2022</v>
      </c>
      <c r="D21" s="7" t="n">
        <v>159</v>
      </c>
      <c r="E21" s="7" t="n">
        <v>37.07</v>
      </c>
      <c r="F21" s="7" t="s">
        <v>484</v>
      </c>
      <c r="G21" s="7" t="s">
        <v>485</v>
      </c>
      <c r="H21" s="7" t="s">
        <v>486</v>
      </c>
      <c r="I21" s="7" t="s">
        <v>380</v>
      </c>
      <c r="J21" s="7" t="s">
        <v>59</v>
      </c>
      <c r="K21" s="8" t="s">
        <v>487</v>
      </c>
      <c r="L21" s="7" t="s">
        <v>488</v>
      </c>
      <c r="M21" s="9"/>
      <c r="N21" s="9"/>
      <c r="O21" s="9"/>
    </row>
    <row r="22" customFormat="false" ht="109.5" hidden="false" customHeight="true" outlineLevel="0" collapsed="false">
      <c r="A22" s="7" t="n">
        <v>21</v>
      </c>
      <c r="B22" s="7" t="s">
        <v>48</v>
      </c>
      <c r="C22" s="7" t="n">
        <v>2020</v>
      </c>
      <c r="D22" s="7" t="n">
        <v>228</v>
      </c>
      <c r="E22" s="7" t="n">
        <v>36.25</v>
      </c>
      <c r="F22" s="7" t="s">
        <v>489</v>
      </c>
      <c r="G22" s="7" t="s">
        <v>490</v>
      </c>
      <c r="H22" s="7" t="s">
        <v>491</v>
      </c>
      <c r="I22" s="7" t="s">
        <v>492</v>
      </c>
      <c r="J22" s="7" t="s">
        <v>59</v>
      </c>
      <c r="K22" s="8" t="s">
        <v>493</v>
      </c>
      <c r="L22" s="7" t="s">
        <v>494</v>
      </c>
      <c r="M22" s="9"/>
      <c r="N22" s="9"/>
      <c r="O22" s="9"/>
    </row>
    <row r="23" customFormat="false" ht="109.5" hidden="false" customHeight="true" outlineLevel="0" collapsed="false">
      <c r="A23" s="7" t="n">
        <v>22</v>
      </c>
      <c r="B23" s="7" t="s">
        <v>48</v>
      </c>
      <c r="C23" s="7" t="n">
        <v>2023</v>
      </c>
      <c r="D23" s="7" t="n">
        <v>106</v>
      </c>
      <c r="E23" s="7" t="n">
        <v>32.23</v>
      </c>
      <c r="F23" s="7" t="s">
        <v>495</v>
      </c>
      <c r="G23" s="7" t="s">
        <v>496</v>
      </c>
      <c r="H23" s="7" t="s">
        <v>497</v>
      </c>
      <c r="I23" s="7" t="s">
        <v>498</v>
      </c>
      <c r="J23" s="7" t="s">
        <v>59</v>
      </c>
      <c r="K23" s="8" t="s">
        <v>499</v>
      </c>
      <c r="L23" s="7" t="s">
        <v>500</v>
      </c>
      <c r="M23" s="9"/>
      <c r="N23" s="9"/>
      <c r="O23" s="9"/>
    </row>
    <row r="24" customFormat="false" ht="109.5" hidden="false" customHeight="true" outlineLevel="0" collapsed="false">
      <c r="A24" s="7" t="n">
        <v>23</v>
      </c>
      <c r="B24" s="7" t="s">
        <v>48</v>
      </c>
      <c r="C24" s="7" t="n">
        <v>2020</v>
      </c>
      <c r="D24" s="7" t="n">
        <v>195</v>
      </c>
      <c r="E24" s="7" t="n">
        <v>31.01</v>
      </c>
      <c r="F24" s="7" t="s">
        <v>501</v>
      </c>
      <c r="G24" s="7" t="s">
        <v>502</v>
      </c>
      <c r="H24" s="7" t="s">
        <v>503</v>
      </c>
      <c r="I24" s="7" t="s">
        <v>504</v>
      </c>
      <c r="J24" s="7" t="s">
        <v>59</v>
      </c>
      <c r="K24" s="8" t="s">
        <v>505</v>
      </c>
      <c r="L24" s="7" t="s">
        <v>506</v>
      </c>
      <c r="M24" s="9"/>
      <c r="N24" s="9"/>
      <c r="O24" s="9"/>
    </row>
    <row r="25" customFormat="false" ht="109.5" hidden="false" customHeight="true" outlineLevel="0" collapsed="false">
      <c r="A25" s="7" t="n">
        <v>24</v>
      </c>
      <c r="B25" s="7" t="s">
        <v>48</v>
      </c>
      <c r="C25" s="7" t="n">
        <v>2019</v>
      </c>
      <c r="D25" s="7" t="n">
        <v>219</v>
      </c>
      <c r="E25" s="7" t="n">
        <v>30.05</v>
      </c>
      <c r="F25" s="7" t="s">
        <v>507</v>
      </c>
      <c r="G25" s="7" t="s">
        <v>508</v>
      </c>
      <c r="H25" s="7"/>
      <c r="I25" s="7" t="s">
        <v>509</v>
      </c>
      <c r="J25" s="7" t="s">
        <v>52</v>
      </c>
      <c r="K25" s="8" t="s">
        <v>510</v>
      </c>
      <c r="L25" s="7" t="s">
        <v>511</v>
      </c>
      <c r="M25" s="9"/>
      <c r="N25" s="9"/>
      <c r="O25" s="9"/>
    </row>
    <row r="26" customFormat="false" ht="109.5" hidden="false" customHeight="true" outlineLevel="0" collapsed="false">
      <c r="A26" s="7" t="n">
        <v>25</v>
      </c>
      <c r="B26" s="7" t="s">
        <v>48</v>
      </c>
      <c r="C26" s="7" t="n">
        <v>2023</v>
      </c>
      <c r="D26" s="7" t="n">
        <v>98</v>
      </c>
      <c r="E26" s="7" t="n">
        <v>29.8</v>
      </c>
      <c r="F26" s="7" t="s">
        <v>512</v>
      </c>
      <c r="G26" s="7" t="s">
        <v>513</v>
      </c>
      <c r="H26" s="7" t="s">
        <v>514</v>
      </c>
      <c r="I26" s="7" t="s">
        <v>515</v>
      </c>
      <c r="J26" s="7" t="s">
        <v>59</v>
      </c>
      <c r="K26" s="8" t="s">
        <v>516</v>
      </c>
      <c r="L26" s="7" t="s">
        <v>517</v>
      </c>
      <c r="M26" s="9"/>
      <c r="N26" s="9"/>
      <c r="O26" s="9"/>
    </row>
    <row r="27" customFormat="false" ht="109.5" hidden="false" customHeight="true" outlineLevel="0" collapsed="false">
      <c r="A27" s="7" t="n">
        <v>26</v>
      </c>
      <c r="B27" s="7" t="s">
        <v>48</v>
      </c>
      <c r="C27" s="7" t="n">
        <v>2023</v>
      </c>
      <c r="D27" s="7" t="n">
        <v>96</v>
      </c>
      <c r="E27" s="7" t="n">
        <v>29.19</v>
      </c>
      <c r="F27" s="7" t="s">
        <v>518</v>
      </c>
      <c r="G27" s="7" t="s">
        <v>519</v>
      </c>
      <c r="H27" s="7" t="s">
        <v>520</v>
      </c>
      <c r="I27" s="7" t="s">
        <v>521</v>
      </c>
      <c r="J27" s="7" t="s">
        <v>59</v>
      </c>
      <c r="K27" s="8" t="s">
        <v>522</v>
      </c>
      <c r="L27" s="7" t="s">
        <v>523</v>
      </c>
      <c r="M27" s="9"/>
      <c r="N27" s="9"/>
      <c r="O27" s="9"/>
    </row>
    <row r="28" customFormat="false" ht="109.5" hidden="false" customHeight="true" outlineLevel="0" collapsed="false">
      <c r="A28" s="7" t="n">
        <v>27</v>
      </c>
      <c r="B28" s="7" t="s">
        <v>48</v>
      </c>
      <c r="C28" s="7" t="n">
        <v>2021</v>
      </c>
      <c r="D28" s="7" t="n">
        <v>152</v>
      </c>
      <c r="E28" s="7" t="n">
        <v>28.74</v>
      </c>
      <c r="F28" s="7" t="s">
        <v>524</v>
      </c>
      <c r="G28" s="7" t="s">
        <v>525</v>
      </c>
      <c r="H28" s="7" t="s">
        <v>526</v>
      </c>
      <c r="I28" s="7" t="s">
        <v>527</v>
      </c>
      <c r="J28" s="7" t="s">
        <v>59</v>
      </c>
      <c r="K28" s="8" t="s">
        <v>528</v>
      </c>
      <c r="L28" s="7" t="s">
        <v>529</v>
      </c>
      <c r="M28" s="9"/>
      <c r="N28" s="9"/>
      <c r="O28" s="9"/>
    </row>
    <row r="29" customFormat="false" ht="109.5" hidden="false" customHeight="true" outlineLevel="0" collapsed="false">
      <c r="A29" s="7" t="n">
        <v>28</v>
      </c>
      <c r="B29" s="7" t="s">
        <v>48</v>
      </c>
      <c r="C29" s="7" t="n">
        <v>2022</v>
      </c>
      <c r="D29" s="7" t="n">
        <v>122</v>
      </c>
      <c r="E29" s="7" t="n">
        <v>28.44</v>
      </c>
      <c r="F29" s="7" t="s">
        <v>530</v>
      </c>
      <c r="G29" s="7" t="s">
        <v>531</v>
      </c>
      <c r="H29" s="7" t="s">
        <v>532</v>
      </c>
      <c r="I29" s="7" t="s">
        <v>266</v>
      </c>
      <c r="J29" s="7" t="s">
        <v>59</v>
      </c>
      <c r="K29" s="8" t="s">
        <v>533</v>
      </c>
      <c r="L29" s="7" t="s">
        <v>534</v>
      </c>
      <c r="M29" s="9"/>
      <c r="N29" s="9"/>
      <c r="O29" s="9"/>
    </row>
    <row r="30" customFormat="false" ht="109.5" hidden="false" customHeight="true" outlineLevel="0" collapsed="false">
      <c r="A30" s="7" t="n">
        <v>29</v>
      </c>
      <c r="B30" s="7" t="s">
        <v>48</v>
      </c>
      <c r="C30" s="7" t="n">
        <v>2020</v>
      </c>
      <c r="D30" s="7" t="n">
        <v>177</v>
      </c>
      <c r="E30" s="7" t="n">
        <v>28.14</v>
      </c>
      <c r="F30" s="7" t="s">
        <v>535</v>
      </c>
      <c r="G30" s="7" t="s">
        <v>536</v>
      </c>
      <c r="H30" s="7"/>
      <c r="I30" s="7" t="s">
        <v>537</v>
      </c>
      <c r="J30" s="7" t="s">
        <v>52</v>
      </c>
      <c r="K30" s="8" t="s">
        <v>538</v>
      </c>
      <c r="L30" s="7" t="s">
        <v>539</v>
      </c>
      <c r="M30" s="9"/>
      <c r="N30" s="9"/>
      <c r="O30" s="9"/>
    </row>
    <row r="31" customFormat="false" ht="109.5" hidden="false" customHeight="true" outlineLevel="0" collapsed="false">
      <c r="A31" s="7" t="n">
        <v>30</v>
      </c>
      <c r="B31" s="7" t="s">
        <v>48</v>
      </c>
      <c r="C31" s="7" t="n">
        <v>2021</v>
      </c>
      <c r="D31" s="7" t="n">
        <v>144</v>
      </c>
      <c r="E31" s="7" t="n">
        <v>27.23</v>
      </c>
      <c r="F31" s="7" t="s">
        <v>540</v>
      </c>
      <c r="G31" s="7" t="s">
        <v>541</v>
      </c>
      <c r="H31" s="7" t="s">
        <v>542</v>
      </c>
      <c r="I31" s="7" t="s">
        <v>138</v>
      </c>
      <c r="J31" s="7" t="s">
        <v>59</v>
      </c>
      <c r="K31" s="8" t="s">
        <v>543</v>
      </c>
      <c r="L31" s="7" t="s">
        <v>544</v>
      </c>
      <c r="M31" s="9"/>
      <c r="N31" s="9"/>
      <c r="O31" s="9"/>
    </row>
    <row r="32" customFormat="false" ht="109.5" hidden="false" customHeight="true" outlineLevel="0" collapsed="false">
      <c r="A32" s="7" t="n">
        <v>31</v>
      </c>
      <c r="B32" s="7" t="s">
        <v>48</v>
      </c>
      <c r="C32" s="7" t="n">
        <v>2018</v>
      </c>
      <c r="D32" s="7" t="n">
        <v>223</v>
      </c>
      <c r="E32" s="7" t="n">
        <v>26.9</v>
      </c>
      <c r="F32" s="7" t="s">
        <v>545</v>
      </c>
      <c r="G32" s="7" t="s">
        <v>546</v>
      </c>
      <c r="H32" s="7" t="s">
        <v>547</v>
      </c>
      <c r="I32" s="7" t="s">
        <v>548</v>
      </c>
      <c r="J32" s="7" t="s">
        <v>59</v>
      </c>
      <c r="K32" s="8" t="s">
        <v>549</v>
      </c>
      <c r="L32" s="7" t="s">
        <v>550</v>
      </c>
      <c r="M32" s="9"/>
      <c r="N32" s="9"/>
      <c r="O32" s="9"/>
    </row>
    <row r="33" customFormat="false" ht="109.5" hidden="false" customHeight="true" outlineLevel="0" collapsed="false">
      <c r="A33" s="7" t="n">
        <v>32</v>
      </c>
      <c r="B33" s="7" t="s">
        <v>48</v>
      </c>
      <c r="C33" s="7" t="n">
        <v>2018</v>
      </c>
      <c r="D33" s="7" t="n">
        <v>222</v>
      </c>
      <c r="E33" s="7" t="n">
        <v>26.78</v>
      </c>
      <c r="F33" s="7" t="s">
        <v>551</v>
      </c>
      <c r="G33" s="7" t="s">
        <v>552</v>
      </c>
      <c r="H33" s="7"/>
      <c r="I33" s="7" t="s">
        <v>553</v>
      </c>
      <c r="J33" s="7" t="s">
        <v>52</v>
      </c>
      <c r="K33" s="8" t="s">
        <v>554</v>
      </c>
      <c r="L33" s="7" t="s">
        <v>555</v>
      </c>
      <c r="M33" s="9"/>
      <c r="N33" s="9"/>
      <c r="O33" s="9"/>
    </row>
    <row r="34" customFormat="false" ht="109.5" hidden="false" customHeight="true" outlineLevel="0" collapsed="false">
      <c r="A34" s="7" t="n">
        <v>33</v>
      </c>
      <c r="B34" s="7" t="s">
        <v>48</v>
      </c>
      <c r="C34" s="7" t="n">
        <v>2020</v>
      </c>
      <c r="D34" s="7" t="n">
        <v>168</v>
      </c>
      <c r="E34" s="7" t="n">
        <v>26.71</v>
      </c>
      <c r="F34" s="7" t="s">
        <v>556</v>
      </c>
      <c r="G34" s="7" t="s">
        <v>557</v>
      </c>
      <c r="H34" s="7" t="s">
        <v>558</v>
      </c>
      <c r="I34" s="7" t="s">
        <v>559</v>
      </c>
      <c r="J34" s="7" t="s">
        <v>52</v>
      </c>
      <c r="K34" s="8" t="s">
        <v>560</v>
      </c>
      <c r="L34" s="7" t="s">
        <v>561</v>
      </c>
      <c r="M34" s="9"/>
      <c r="N34" s="9"/>
      <c r="O34" s="9"/>
    </row>
    <row r="35" customFormat="false" ht="109.5" hidden="false" customHeight="true" outlineLevel="0" collapsed="false">
      <c r="A35" s="7" t="n">
        <v>34</v>
      </c>
      <c r="B35" s="7" t="s">
        <v>48</v>
      </c>
      <c r="C35" s="7" t="n">
        <v>2021</v>
      </c>
      <c r="D35" s="7" t="n">
        <v>140</v>
      </c>
      <c r="E35" s="7" t="n">
        <v>26.47</v>
      </c>
      <c r="F35" s="7" t="s">
        <v>562</v>
      </c>
      <c r="G35" s="7" t="s">
        <v>563</v>
      </c>
      <c r="H35" s="7" t="s">
        <v>564</v>
      </c>
      <c r="I35" s="7" t="s">
        <v>121</v>
      </c>
      <c r="J35" s="7" t="s">
        <v>59</v>
      </c>
      <c r="K35" s="8" t="s">
        <v>565</v>
      </c>
      <c r="L35" s="7" t="s">
        <v>566</v>
      </c>
      <c r="M35" s="9"/>
      <c r="N35" s="9"/>
      <c r="O35" s="9"/>
    </row>
    <row r="36" customFormat="false" ht="109.5" hidden="false" customHeight="true" outlineLevel="0" collapsed="false">
      <c r="A36" s="7" t="n">
        <v>35</v>
      </c>
      <c r="B36" s="7" t="s">
        <v>48</v>
      </c>
      <c r="C36" s="7" t="n">
        <v>2021</v>
      </c>
      <c r="D36" s="7" t="n">
        <v>139</v>
      </c>
      <c r="E36" s="7" t="n">
        <v>26.28</v>
      </c>
      <c r="F36" s="7" t="s">
        <v>567</v>
      </c>
      <c r="G36" s="7" t="s">
        <v>568</v>
      </c>
      <c r="H36" s="7" t="s">
        <v>569</v>
      </c>
      <c r="I36" s="7" t="s">
        <v>326</v>
      </c>
      <c r="J36" s="7" t="s">
        <v>59</v>
      </c>
      <c r="K36" s="8" t="s">
        <v>570</v>
      </c>
      <c r="L36" s="7" t="s">
        <v>571</v>
      </c>
      <c r="M36" s="9"/>
      <c r="N36" s="9"/>
      <c r="O36" s="9"/>
    </row>
    <row r="37" customFormat="false" ht="109.5" hidden="false" customHeight="true" outlineLevel="0" collapsed="false">
      <c r="A37" s="7" t="n">
        <v>36</v>
      </c>
      <c r="B37" s="7" t="s">
        <v>48</v>
      </c>
      <c r="C37" s="7" t="n">
        <v>2023</v>
      </c>
      <c r="D37" s="7" t="n">
        <v>86</v>
      </c>
      <c r="E37" s="7" t="n">
        <v>26.15</v>
      </c>
      <c r="F37" s="7" t="s">
        <v>572</v>
      </c>
      <c r="G37" s="7" t="s">
        <v>573</v>
      </c>
      <c r="H37" s="7" t="s">
        <v>574</v>
      </c>
      <c r="I37" s="7" t="s">
        <v>320</v>
      </c>
      <c r="J37" s="7" t="s">
        <v>59</v>
      </c>
      <c r="K37" s="8" t="s">
        <v>575</v>
      </c>
      <c r="L37" s="7" t="s">
        <v>576</v>
      </c>
      <c r="M37" s="9"/>
      <c r="N37" s="9"/>
      <c r="O37" s="9"/>
    </row>
    <row r="38" customFormat="false" ht="109.5" hidden="false" customHeight="true" outlineLevel="0" collapsed="false">
      <c r="A38" s="7" t="n">
        <v>37</v>
      </c>
      <c r="B38" s="7" t="s">
        <v>48</v>
      </c>
      <c r="C38" s="7" t="n">
        <v>2021</v>
      </c>
      <c r="D38" s="7" t="n">
        <v>134</v>
      </c>
      <c r="E38" s="7" t="n">
        <v>25.34</v>
      </c>
      <c r="F38" s="7" t="s">
        <v>577</v>
      </c>
      <c r="G38" s="7" t="s">
        <v>578</v>
      </c>
      <c r="H38" s="7" t="s">
        <v>579</v>
      </c>
      <c r="I38" s="7" t="s">
        <v>431</v>
      </c>
      <c r="J38" s="7" t="s">
        <v>59</v>
      </c>
      <c r="K38" s="8" t="s">
        <v>580</v>
      </c>
      <c r="L38" s="7" t="s">
        <v>581</v>
      </c>
      <c r="M38" s="9"/>
      <c r="N38" s="9"/>
      <c r="O38" s="9"/>
    </row>
    <row r="39" customFormat="false" ht="109.5" hidden="false" customHeight="true" outlineLevel="0" collapsed="false">
      <c r="A39" s="7" t="n">
        <v>38</v>
      </c>
      <c r="B39" s="7" t="s">
        <v>48</v>
      </c>
      <c r="C39" s="7" t="n">
        <v>2023</v>
      </c>
      <c r="D39" s="7" t="n">
        <v>83</v>
      </c>
      <c r="E39" s="7" t="n">
        <v>25.24</v>
      </c>
      <c r="F39" s="7" t="s">
        <v>582</v>
      </c>
      <c r="G39" s="7" t="s">
        <v>583</v>
      </c>
      <c r="H39" s="7" t="s">
        <v>584</v>
      </c>
      <c r="I39" s="7" t="s">
        <v>283</v>
      </c>
      <c r="J39" s="7" t="s">
        <v>59</v>
      </c>
      <c r="K39" s="8" t="s">
        <v>585</v>
      </c>
      <c r="L39" s="7" t="s">
        <v>586</v>
      </c>
      <c r="M39" s="9"/>
      <c r="N39" s="9"/>
      <c r="O39" s="9"/>
    </row>
    <row r="40" customFormat="false" ht="109.5" hidden="false" customHeight="true" outlineLevel="0" collapsed="false">
      <c r="A40" s="7" t="n">
        <v>39</v>
      </c>
      <c r="B40" s="7" t="s">
        <v>48</v>
      </c>
      <c r="C40" s="7" t="n">
        <v>2023</v>
      </c>
      <c r="D40" s="7" t="n">
        <v>83</v>
      </c>
      <c r="E40" s="7" t="n">
        <v>25.24</v>
      </c>
      <c r="F40" s="7" t="s">
        <v>587</v>
      </c>
      <c r="G40" s="7" t="s">
        <v>588</v>
      </c>
      <c r="H40" s="7" t="s">
        <v>589</v>
      </c>
      <c r="I40" s="7" t="s">
        <v>326</v>
      </c>
      <c r="J40" s="7" t="s">
        <v>59</v>
      </c>
      <c r="K40" s="8" t="s">
        <v>590</v>
      </c>
      <c r="L40" s="7" t="s">
        <v>591</v>
      </c>
      <c r="M40" s="9"/>
      <c r="N40" s="9"/>
      <c r="O40" s="9"/>
    </row>
    <row r="41" customFormat="false" ht="109.5" hidden="false" customHeight="true" outlineLevel="0" collapsed="false">
      <c r="A41" s="7" t="n">
        <v>40</v>
      </c>
      <c r="B41" s="7" t="s">
        <v>48</v>
      </c>
      <c r="C41" s="7" t="n">
        <v>2021</v>
      </c>
      <c r="D41" s="7" t="n">
        <v>132</v>
      </c>
      <c r="E41" s="7" t="n">
        <v>24.96</v>
      </c>
      <c r="F41" s="7" t="s">
        <v>592</v>
      </c>
      <c r="G41" s="7" t="s">
        <v>593</v>
      </c>
      <c r="H41" s="7" t="s">
        <v>594</v>
      </c>
      <c r="I41" s="7" t="s">
        <v>527</v>
      </c>
      <c r="J41" s="7" t="s">
        <v>59</v>
      </c>
      <c r="K41" s="8" t="s">
        <v>595</v>
      </c>
      <c r="L41" s="7" t="s">
        <v>596</v>
      </c>
      <c r="M41" s="9"/>
      <c r="N41" s="9"/>
      <c r="O41" s="9"/>
    </row>
    <row r="42" customFormat="false" ht="109.5" hidden="false" customHeight="true" outlineLevel="0" collapsed="false">
      <c r="A42" s="7" t="n">
        <v>41</v>
      </c>
      <c r="B42" s="7" t="s">
        <v>48</v>
      </c>
      <c r="C42" s="7" t="n">
        <v>2020</v>
      </c>
      <c r="D42" s="7" t="n">
        <v>156</v>
      </c>
      <c r="E42" s="7" t="n">
        <v>24.81</v>
      </c>
      <c r="F42" s="7" t="s">
        <v>597</v>
      </c>
      <c r="G42" s="7" t="s">
        <v>598</v>
      </c>
      <c r="H42" s="7" t="s">
        <v>599</v>
      </c>
      <c r="I42" s="7" t="s">
        <v>144</v>
      </c>
      <c r="J42" s="7" t="s">
        <v>59</v>
      </c>
      <c r="K42" s="8" t="s">
        <v>600</v>
      </c>
      <c r="L42" s="7" t="s">
        <v>601</v>
      </c>
      <c r="M42" s="9"/>
      <c r="N42" s="9"/>
      <c r="O42" s="9"/>
    </row>
    <row r="43" customFormat="false" ht="109.5" hidden="false" customHeight="true" outlineLevel="0" collapsed="false">
      <c r="A43" s="7" t="n">
        <v>42</v>
      </c>
      <c r="B43" s="7" t="s">
        <v>48</v>
      </c>
      <c r="C43" s="7" t="n">
        <v>2023</v>
      </c>
      <c r="D43" s="7" t="n">
        <v>81</v>
      </c>
      <c r="E43" s="7" t="n">
        <v>24.63</v>
      </c>
      <c r="F43" s="7" t="s">
        <v>602</v>
      </c>
      <c r="G43" s="7" t="s">
        <v>603</v>
      </c>
      <c r="H43" s="7" t="s">
        <v>604</v>
      </c>
      <c r="I43" s="7" t="s">
        <v>144</v>
      </c>
      <c r="J43" s="7" t="s">
        <v>59</v>
      </c>
      <c r="K43" s="8" t="s">
        <v>605</v>
      </c>
      <c r="L43" s="7" t="s">
        <v>606</v>
      </c>
      <c r="M43" s="9"/>
      <c r="N43" s="9"/>
      <c r="O43" s="9"/>
    </row>
    <row r="44" customFormat="false" ht="109.5" hidden="false" customHeight="true" outlineLevel="0" collapsed="false">
      <c r="A44" s="7" t="n">
        <v>43</v>
      </c>
      <c r="B44" s="7" t="s">
        <v>48</v>
      </c>
      <c r="C44" s="7" t="n">
        <v>2022</v>
      </c>
      <c r="D44" s="7" t="n">
        <v>105</v>
      </c>
      <c r="E44" s="7" t="n">
        <v>24.48</v>
      </c>
      <c r="F44" s="7" t="s">
        <v>607</v>
      </c>
      <c r="G44" s="7" t="s">
        <v>608</v>
      </c>
      <c r="H44" s="7" t="s">
        <v>609</v>
      </c>
      <c r="I44" s="7" t="s">
        <v>610</v>
      </c>
      <c r="J44" s="7" t="s">
        <v>59</v>
      </c>
      <c r="K44" s="8" t="s">
        <v>611</v>
      </c>
      <c r="L44" s="7" t="s">
        <v>612</v>
      </c>
      <c r="M44" s="9"/>
      <c r="N44" s="9"/>
      <c r="O44" s="9"/>
    </row>
    <row r="45" customFormat="false" ht="109.5" hidden="false" customHeight="true" outlineLevel="0" collapsed="false">
      <c r="A45" s="7" t="n">
        <v>44</v>
      </c>
      <c r="B45" s="7" t="s">
        <v>48</v>
      </c>
      <c r="C45" s="7" t="n">
        <v>2023</v>
      </c>
      <c r="D45" s="7" t="n">
        <v>80</v>
      </c>
      <c r="E45" s="7" t="n">
        <v>24.32</v>
      </c>
      <c r="F45" s="7" t="s">
        <v>613</v>
      </c>
      <c r="G45" s="7" t="s">
        <v>614</v>
      </c>
      <c r="H45" s="7" t="s">
        <v>615</v>
      </c>
      <c r="I45" s="7" t="s">
        <v>326</v>
      </c>
      <c r="J45" s="7" t="s">
        <v>59</v>
      </c>
      <c r="K45" s="8" t="s">
        <v>616</v>
      </c>
      <c r="L45" s="7" t="s">
        <v>617</v>
      </c>
      <c r="M45" s="9"/>
      <c r="N45" s="9"/>
      <c r="O45" s="9"/>
    </row>
    <row r="46" customFormat="false" ht="109.5" hidden="false" customHeight="true" outlineLevel="0" collapsed="false">
      <c r="A46" s="7" t="n">
        <v>45</v>
      </c>
      <c r="B46" s="7" t="s">
        <v>48</v>
      </c>
      <c r="C46" s="7" t="n">
        <v>2023</v>
      </c>
      <c r="D46" s="7" t="n">
        <v>79</v>
      </c>
      <c r="E46" s="7" t="n">
        <v>24.02</v>
      </c>
      <c r="F46" s="7" t="s">
        <v>618</v>
      </c>
      <c r="G46" s="7" t="s">
        <v>619</v>
      </c>
      <c r="H46" s="7" t="s">
        <v>620</v>
      </c>
      <c r="I46" s="7" t="s">
        <v>527</v>
      </c>
      <c r="J46" s="7" t="s">
        <v>59</v>
      </c>
      <c r="K46" s="8" t="s">
        <v>621</v>
      </c>
      <c r="L46" s="7" t="s">
        <v>622</v>
      </c>
      <c r="M46" s="9"/>
      <c r="N46" s="9"/>
      <c r="O46" s="9"/>
    </row>
    <row r="47" customFormat="false" ht="109.5" hidden="false" customHeight="true" outlineLevel="0" collapsed="false">
      <c r="A47" s="7" t="n">
        <v>1</v>
      </c>
      <c r="B47" s="7" t="s">
        <v>298</v>
      </c>
      <c r="C47" s="7" t="n">
        <v>2025</v>
      </c>
      <c r="D47" s="7" t="n">
        <v>90</v>
      </c>
      <c r="E47" s="7" t="n">
        <v>69.82</v>
      </c>
      <c r="F47" s="7" t="s">
        <v>623</v>
      </c>
      <c r="G47" s="7" t="s">
        <v>624</v>
      </c>
      <c r="H47" s="7" t="s">
        <v>625</v>
      </c>
      <c r="I47" s="7" t="s">
        <v>469</v>
      </c>
      <c r="J47" s="7" t="s">
        <v>59</v>
      </c>
      <c r="K47" s="8" t="s">
        <v>626</v>
      </c>
      <c r="L47" s="7" t="s">
        <v>627</v>
      </c>
      <c r="M47" s="9"/>
      <c r="N47" s="9"/>
      <c r="O47" s="9"/>
    </row>
    <row r="48" customFormat="false" ht="109.5" hidden="false" customHeight="true" outlineLevel="0" collapsed="false">
      <c r="A48" s="7" t="n">
        <v>2</v>
      </c>
      <c r="B48" s="7" t="s">
        <v>298</v>
      </c>
      <c r="C48" s="7" t="n">
        <v>2026</v>
      </c>
      <c r="D48" s="7" t="n">
        <v>27</v>
      </c>
      <c r="E48" s="7" t="n">
        <v>54</v>
      </c>
      <c r="F48" s="7" t="s">
        <v>628</v>
      </c>
      <c r="G48" s="7" t="s">
        <v>629</v>
      </c>
      <c r="H48" s="7" t="s">
        <v>630</v>
      </c>
      <c r="I48" s="7" t="s">
        <v>631</v>
      </c>
      <c r="J48" s="7" t="s">
        <v>59</v>
      </c>
      <c r="K48" s="8" t="s">
        <v>632</v>
      </c>
      <c r="L48" s="7" t="s">
        <v>633</v>
      </c>
      <c r="M48" s="9"/>
      <c r="N48" s="9"/>
      <c r="O48" s="9"/>
    </row>
    <row r="49" customFormat="false" ht="109.5" hidden="false" customHeight="true" outlineLevel="0" collapsed="false">
      <c r="A49" s="7" t="n">
        <v>3</v>
      </c>
      <c r="B49" s="7" t="s">
        <v>298</v>
      </c>
      <c r="C49" s="7" t="n">
        <v>2024</v>
      </c>
      <c r="D49" s="7" t="n">
        <v>107</v>
      </c>
      <c r="E49" s="7" t="n">
        <v>46.74</v>
      </c>
      <c r="F49" s="7" t="s">
        <v>634</v>
      </c>
      <c r="G49" s="7" t="s">
        <v>635</v>
      </c>
      <c r="H49" s="7" t="s">
        <v>636</v>
      </c>
      <c r="I49" s="7" t="s">
        <v>380</v>
      </c>
      <c r="J49" s="7" t="s">
        <v>59</v>
      </c>
      <c r="K49" s="8" t="s">
        <v>637</v>
      </c>
      <c r="L49" s="7" t="s">
        <v>638</v>
      </c>
      <c r="M49" s="9"/>
      <c r="N49" s="9"/>
      <c r="O49" s="9"/>
    </row>
    <row r="50" customFormat="false" ht="109.5" hidden="false" customHeight="true" outlineLevel="0" collapsed="false">
      <c r="A50" s="7" t="n">
        <v>4</v>
      </c>
      <c r="B50" s="7" t="s">
        <v>298</v>
      </c>
      <c r="C50" s="7" t="n">
        <v>2026</v>
      </c>
      <c r="D50" s="7" t="n">
        <v>22</v>
      </c>
      <c r="E50" s="7" t="n">
        <v>44</v>
      </c>
      <c r="F50" s="7" t="s">
        <v>639</v>
      </c>
      <c r="G50" s="7" t="s">
        <v>640</v>
      </c>
      <c r="H50" s="7" t="s">
        <v>641</v>
      </c>
      <c r="I50" s="7" t="s">
        <v>211</v>
      </c>
      <c r="J50" s="7" t="s">
        <v>59</v>
      </c>
      <c r="K50" s="8" t="s">
        <v>642</v>
      </c>
      <c r="L50" s="7" t="s">
        <v>643</v>
      </c>
      <c r="M50" s="9"/>
      <c r="N50" s="9"/>
      <c r="O50" s="9"/>
    </row>
    <row r="51" customFormat="false" ht="109.5" hidden="false" customHeight="true" outlineLevel="0" collapsed="false">
      <c r="A51" s="7" t="n">
        <v>5</v>
      </c>
      <c r="B51" s="7" t="s">
        <v>298</v>
      </c>
      <c r="C51" s="7" t="n">
        <v>2024</v>
      </c>
      <c r="D51" s="7" t="n">
        <v>92</v>
      </c>
      <c r="E51" s="7" t="n">
        <v>40.19</v>
      </c>
      <c r="F51" s="7" t="s">
        <v>644</v>
      </c>
      <c r="G51" s="7" t="s">
        <v>645</v>
      </c>
      <c r="H51" s="7" t="s">
        <v>646</v>
      </c>
      <c r="I51" s="7" t="s">
        <v>326</v>
      </c>
      <c r="J51" s="7" t="s">
        <v>59</v>
      </c>
      <c r="K51" s="8" t="s">
        <v>647</v>
      </c>
      <c r="L51" s="7" t="s">
        <v>648</v>
      </c>
      <c r="M51" s="9"/>
      <c r="N51" s="9"/>
      <c r="O51" s="9"/>
    </row>
    <row r="52" customFormat="false" ht="109.5" hidden="false" customHeight="true" outlineLevel="0" collapsed="false">
      <c r="A52" s="7" t="n">
        <v>6</v>
      </c>
      <c r="B52" s="7" t="s">
        <v>298</v>
      </c>
      <c r="C52" s="7" t="n">
        <v>2024</v>
      </c>
      <c r="D52" s="7" t="n">
        <v>85</v>
      </c>
      <c r="E52" s="7" t="n">
        <v>37.13</v>
      </c>
      <c r="F52" s="7" t="s">
        <v>649</v>
      </c>
      <c r="G52" s="7" t="s">
        <v>650</v>
      </c>
      <c r="H52" s="7" t="s">
        <v>651</v>
      </c>
      <c r="I52" s="7" t="s">
        <v>121</v>
      </c>
      <c r="J52" s="7" t="s">
        <v>59</v>
      </c>
      <c r="K52" s="8" t="s">
        <v>652</v>
      </c>
      <c r="L52" s="7" t="s">
        <v>653</v>
      </c>
      <c r="M52" s="9"/>
      <c r="N52" s="9"/>
      <c r="O52" s="9"/>
    </row>
    <row r="53" customFormat="false" ht="109.5" hidden="false" customHeight="true" outlineLevel="0" collapsed="false">
      <c r="A53" s="7" t="n">
        <v>7</v>
      </c>
      <c r="B53" s="7" t="s">
        <v>298</v>
      </c>
      <c r="C53" s="7" t="n">
        <v>2024</v>
      </c>
      <c r="D53" s="7" t="n">
        <v>79</v>
      </c>
      <c r="E53" s="7" t="n">
        <v>34.51</v>
      </c>
      <c r="F53" s="7" t="s">
        <v>654</v>
      </c>
      <c r="G53" s="7" t="s">
        <v>655</v>
      </c>
      <c r="H53" s="7" t="s">
        <v>656</v>
      </c>
      <c r="I53" s="7" t="s">
        <v>121</v>
      </c>
      <c r="J53" s="7" t="s">
        <v>59</v>
      </c>
      <c r="K53" s="8" t="s">
        <v>657</v>
      </c>
      <c r="L53" s="7" t="s">
        <v>658</v>
      </c>
      <c r="M53" s="9"/>
      <c r="N53" s="9"/>
      <c r="O53" s="9"/>
    </row>
    <row r="54" customFormat="false" ht="109.5" hidden="false" customHeight="true" outlineLevel="0" collapsed="false">
      <c r="A54" s="7" t="n">
        <v>8</v>
      </c>
      <c r="B54" s="7" t="s">
        <v>298</v>
      </c>
      <c r="C54" s="7" t="n">
        <v>2025</v>
      </c>
      <c r="D54" s="7" t="n">
        <v>42</v>
      </c>
      <c r="E54" s="7" t="n">
        <v>32.58</v>
      </c>
      <c r="F54" s="7" t="s">
        <v>659</v>
      </c>
      <c r="G54" s="7" t="s">
        <v>660</v>
      </c>
      <c r="H54" s="7" t="s">
        <v>661</v>
      </c>
      <c r="I54" s="7" t="s">
        <v>76</v>
      </c>
      <c r="J54" s="7" t="s">
        <v>59</v>
      </c>
      <c r="K54" s="8" t="s">
        <v>662</v>
      </c>
      <c r="L54" s="7" t="s">
        <v>663</v>
      </c>
      <c r="M54" s="9"/>
      <c r="N54" s="9"/>
      <c r="O54" s="9"/>
    </row>
    <row r="55" customFormat="false" ht="109.5" hidden="false" customHeight="true" outlineLevel="0" collapsed="false">
      <c r="A55" s="7" t="n">
        <v>9</v>
      </c>
      <c r="B55" s="7" t="s">
        <v>298</v>
      </c>
      <c r="C55" s="7" t="n">
        <v>2025</v>
      </c>
      <c r="D55" s="7" t="n">
        <v>42</v>
      </c>
      <c r="E55" s="7" t="n">
        <v>32.58</v>
      </c>
      <c r="F55" s="7" t="s">
        <v>664</v>
      </c>
      <c r="G55" s="7" t="s">
        <v>665</v>
      </c>
      <c r="H55" s="7" t="s">
        <v>666</v>
      </c>
      <c r="I55" s="7" t="s">
        <v>76</v>
      </c>
      <c r="J55" s="7" t="s">
        <v>59</v>
      </c>
      <c r="K55" s="8" t="s">
        <v>667</v>
      </c>
      <c r="L55" s="7" t="s">
        <v>668</v>
      </c>
      <c r="M55" s="9"/>
      <c r="N55" s="9"/>
      <c r="O55" s="9"/>
    </row>
    <row r="56" customFormat="false" ht="109.5" hidden="false" customHeight="true" outlineLevel="0" collapsed="false">
      <c r="A56" s="7" t="n">
        <v>10</v>
      </c>
      <c r="B56" s="7" t="s">
        <v>298</v>
      </c>
      <c r="C56" s="7" t="n">
        <v>2024</v>
      </c>
      <c r="D56" s="7" t="n">
        <v>71</v>
      </c>
      <c r="E56" s="7" t="n">
        <v>31.02</v>
      </c>
      <c r="F56" s="7" t="s">
        <v>669</v>
      </c>
      <c r="G56" s="7" t="s">
        <v>670</v>
      </c>
      <c r="H56" s="7" t="s">
        <v>671</v>
      </c>
      <c r="I56" s="7" t="s">
        <v>672</v>
      </c>
      <c r="J56" s="7" t="s">
        <v>59</v>
      </c>
      <c r="K56" s="8" t="s">
        <v>673</v>
      </c>
      <c r="L56" s="7" t="s">
        <v>674</v>
      </c>
      <c r="M56" s="9"/>
      <c r="N56" s="9"/>
      <c r="O56" s="9"/>
    </row>
    <row r="57" customFormat="false" ht="109.5" hidden="false" customHeight="true" outlineLevel="0" collapsed="false">
      <c r="A57" s="7" t="n">
        <v>11</v>
      </c>
      <c r="B57" s="7" t="s">
        <v>298</v>
      </c>
      <c r="C57" s="7" t="n">
        <v>2025</v>
      </c>
      <c r="D57" s="7" t="n">
        <v>37</v>
      </c>
      <c r="E57" s="7" t="n">
        <v>28.7</v>
      </c>
      <c r="F57" s="7" t="s">
        <v>675</v>
      </c>
      <c r="G57" s="7" t="s">
        <v>676</v>
      </c>
      <c r="H57" s="7" t="s">
        <v>677</v>
      </c>
      <c r="I57" s="7" t="s">
        <v>326</v>
      </c>
      <c r="J57" s="7" t="s">
        <v>59</v>
      </c>
      <c r="K57" s="8" t="s">
        <v>678</v>
      </c>
      <c r="L57" s="7" t="s">
        <v>679</v>
      </c>
      <c r="M57" s="9"/>
      <c r="N57" s="9"/>
      <c r="O57" s="9"/>
    </row>
    <row r="58" customFormat="false" ht="109.5" hidden="false" customHeight="true" outlineLevel="0" collapsed="false">
      <c r="A58" s="7" t="n">
        <v>12</v>
      </c>
      <c r="B58" s="7" t="s">
        <v>298</v>
      </c>
      <c r="C58" s="7" t="n">
        <v>2026</v>
      </c>
      <c r="D58" s="7" t="n">
        <v>14</v>
      </c>
      <c r="E58" s="7" t="n">
        <v>28</v>
      </c>
      <c r="F58" s="7" t="s">
        <v>680</v>
      </c>
      <c r="G58" s="7" t="s">
        <v>681</v>
      </c>
      <c r="H58" s="7" t="s">
        <v>682</v>
      </c>
      <c r="I58" s="7" t="s">
        <v>498</v>
      </c>
      <c r="J58" s="7" t="s">
        <v>59</v>
      </c>
      <c r="K58" s="8" t="s">
        <v>683</v>
      </c>
      <c r="L58" s="7" t="s">
        <v>684</v>
      </c>
      <c r="M58" s="9"/>
      <c r="N58" s="9"/>
      <c r="O58" s="9"/>
    </row>
    <row r="59" customFormat="false" ht="109.5" hidden="false" customHeight="true" outlineLevel="0" collapsed="false">
      <c r="A59" s="7" t="n">
        <v>13</v>
      </c>
      <c r="B59" s="7" t="s">
        <v>298</v>
      </c>
      <c r="C59" s="7" t="n">
        <v>2026</v>
      </c>
      <c r="D59" s="7" t="n">
        <v>14</v>
      </c>
      <c r="E59" s="7" t="n">
        <v>28</v>
      </c>
      <c r="F59" s="7" t="s">
        <v>685</v>
      </c>
      <c r="G59" s="7" t="s">
        <v>686</v>
      </c>
      <c r="H59" s="7" t="s">
        <v>687</v>
      </c>
      <c r="I59" s="7" t="s">
        <v>469</v>
      </c>
      <c r="J59" s="7" t="s">
        <v>59</v>
      </c>
      <c r="K59" s="8" t="s">
        <v>688</v>
      </c>
      <c r="L59" s="7" t="s">
        <v>689</v>
      </c>
      <c r="M59" s="9"/>
      <c r="N59" s="9"/>
      <c r="O59" s="9"/>
    </row>
    <row r="60" customFormat="false" ht="109.5" hidden="false" customHeight="true" outlineLevel="0" collapsed="false">
      <c r="A60" s="7" t="n">
        <v>14</v>
      </c>
      <c r="B60" s="7" t="s">
        <v>298</v>
      </c>
      <c r="C60" s="7" t="n">
        <v>2025</v>
      </c>
      <c r="D60" s="7" t="n">
        <v>35</v>
      </c>
      <c r="E60" s="7" t="n">
        <v>27.15</v>
      </c>
      <c r="F60" s="7" t="s">
        <v>690</v>
      </c>
      <c r="G60" s="7" t="s">
        <v>691</v>
      </c>
      <c r="H60" s="7" t="s">
        <v>692</v>
      </c>
      <c r="I60" s="7" t="s">
        <v>326</v>
      </c>
      <c r="J60" s="7" t="s">
        <v>59</v>
      </c>
      <c r="K60" s="8" t="s">
        <v>693</v>
      </c>
      <c r="L60" s="7" t="s">
        <v>694</v>
      </c>
      <c r="M60" s="9"/>
      <c r="N60" s="9"/>
      <c r="O60" s="9"/>
    </row>
    <row r="61" customFormat="false" ht="109.5" hidden="false" customHeight="true" outlineLevel="0" collapsed="false">
      <c r="A61" s="7" t="n">
        <v>15</v>
      </c>
      <c r="B61" s="7" t="s">
        <v>298</v>
      </c>
      <c r="C61" s="7" t="n">
        <v>2025</v>
      </c>
      <c r="D61" s="7" t="n">
        <v>35</v>
      </c>
      <c r="E61" s="7" t="n">
        <v>27.15</v>
      </c>
      <c r="F61" s="7" t="s">
        <v>695</v>
      </c>
      <c r="G61" s="7" t="s">
        <v>696</v>
      </c>
      <c r="H61" s="7" t="s">
        <v>697</v>
      </c>
      <c r="I61" s="7" t="s">
        <v>698</v>
      </c>
      <c r="J61" s="7" t="s">
        <v>59</v>
      </c>
      <c r="K61" s="8" t="s">
        <v>699</v>
      </c>
      <c r="L61" s="7" t="s">
        <v>700</v>
      </c>
      <c r="M61" s="9"/>
      <c r="N61" s="9"/>
      <c r="O61" s="9"/>
    </row>
  </sheetData>
  <autoFilter ref="A1:O61"/>
  <conditionalFormatting sqref="A2:O61">
    <cfRule type="expression" priority="2" aboveAverage="0" equalAverage="0" bottom="0" percent="0" rank="0" text="" dxfId="3">
      <formula>$M2="Include"</formula>
    </cfRule>
    <cfRule type="expression" priority="3" aboveAverage="0" equalAverage="0" bottom="0" percent="0" rank="0" text="" dxfId="4">
      <formula>$M2="Exclude"</formula>
    </cfRule>
  </conditionalFormatting>
  <dataValidations count="2">
    <dataValidation allowBlank="true" errorStyle="stop" operator="between" showDropDown="false" showErrorMessage="false" showInputMessage="false" sqref="M2:M61" type="list">
      <formula1>"Include,Exclude,Unsure"</formula1>
      <formula2>0</formula2>
    </dataValidation>
    <dataValidation allowBlank="true" errorStyle="stop" operator="between" showDropDown="false" showErrorMessage="false" showInputMessage="false" sqref="N2:N61" type="list">
      <formula1>"E1,E2,E3,E4"</formula1>
      <formula2>0</formula2>
    </dataValidation>
  </dataValidations>
  <hyperlinks>
    <hyperlink ref="K2" r:id="rId1" display="10.1007/978-3-319-63387-9_5"/>
    <hyperlink ref="K3" r:id="rId2" display="10.1109/TITS.2021.3082767"/>
    <hyperlink ref="K4" r:id="rId3" display="10.1109/TITS.2022.3177627"/>
    <hyperlink ref="K5" r:id="rId4" display="10.3390/electronics12173664"/>
    <hyperlink ref="K6" r:id="rId5" display="10.1109/ACCESS.2021.3065926"/>
    <hyperlink ref="K7" r:id="rId6" display="10.2514/6.2018-3676"/>
    <hyperlink ref="K8" r:id="rId7" display="10.1109/ACCESS.2020.3000064"/>
    <hyperlink ref="K9" r:id="rId8" display="10.1109/MCOM.2018.1700430"/>
    <hyperlink ref="K10" r:id="rId9" display="10.1109/ACCESS.2019.2942944"/>
    <hyperlink ref="K11" r:id="rId10" display="10.1109/JSEN.2022.3171293"/>
    <hyperlink ref="K12" r:id="rId11" display="10.1109/ACCESS.2016.2537208"/>
    <hyperlink ref="K13" r:id="rId12" display="10.1016/j.future.2019.05.007"/>
    <hyperlink ref="K14" r:id="rId13" display="10.1109/LRA.2021.3056059"/>
    <hyperlink ref="K16" r:id="rId14" display="10.1109/OJCOMS.2019.2955889"/>
    <hyperlink ref="K17" r:id="rId15" display="10.1109/TVT.2019.2893615"/>
    <hyperlink ref="K18" r:id="rId16" display="10.1109/TCCN.2021.3099114"/>
    <hyperlink ref="K19" r:id="rId17" display="10.1109/ICASSP49357.2023.10095516"/>
    <hyperlink ref="K20" r:id="rId18" display="10.1016/j.jairtraman.2020.101929"/>
    <hyperlink ref="K21" r:id="rId19" display="10.1109/TGRS.2021.3104907"/>
    <hyperlink ref="K22" r:id="rId20" display="10.3390/s20143856"/>
    <hyperlink ref="K23" r:id="rId21" display="10.1109/TCOMM.2022.3224751"/>
    <hyperlink ref="K24" r:id="rId22" display="10.3390/aerospace7030024"/>
    <hyperlink ref="K25" r:id="rId23" display="10.1109/AERO.2019.8741970"/>
    <hyperlink ref="K26" r:id="rId24" display="10.3390/eng4010025"/>
    <hyperlink ref="K27" r:id="rId25" display="10.1109/JLT.2022.3208451"/>
    <hyperlink ref="K28" r:id="rId26" display="10.3390/s21082824"/>
    <hyperlink ref="K29" r:id="rId27" display="10.1109/JIOT.2021.3118949"/>
    <hyperlink ref="K30" r:id="rId28" display="10.1109/ICPR48806.2021.9413241"/>
    <hyperlink ref="K31" r:id="rId29" display="10.1016/j.comcom.2020.12.005"/>
    <hyperlink ref="K32" r:id="rId30" display="10.1142/S2301385018400022"/>
    <hyperlink ref="K33" r:id="rId31" display="10.2514/6.2018-1266"/>
    <hyperlink ref="K34" r:id="rId32" display="10.1109/ICIoT48696.2020.9089489"/>
    <hyperlink ref="K35" r:id="rId33" display="10.1109/ACCESS.2021.3092039"/>
    <hyperlink ref="K36" r:id="rId34" display="10.3390/drones5030095"/>
    <hyperlink ref="K37" r:id="rId35" display="10.1109/TIV.2023.3237329"/>
    <hyperlink ref="K38" r:id="rId36" display="10.1109/JSEN.2021.3068444"/>
    <hyperlink ref="K39" r:id="rId37" display="10.1007/s11042-023-15333-w"/>
    <hyperlink ref="K40" r:id="rId38" display="10.3390/drones7060383"/>
    <hyperlink ref="K41" r:id="rId39" display="10.3390/s21061947"/>
    <hyperlink ref="K42" r:id="rId40" display="10.1109/TVT.2020.2964110"/>
    <hyperlink ref="K43" r:id="rId41" display="10.1109/TVT.2023.3254604"/>
    <hyperlink ref="K44" r:id="rId42" display="10.1109/TIM.2022.3198490"/>
    <hyperlink ref="K45" r:id="rId43" display="10.3390/drones7010022"/>
    <hyperlink ref="K46" r:id="rId44" display="10.3390/s23177650"/>
    <hyperlink ref="K47" r:id="rId45" display="10.1109/TCCN.2025.3601015"/>
    <hyperlink ref="K48" r:id="rId46" display="10.1109/TWC.2025.3583950"/>
    <hyperlink ref="K49" r:id="rId47" display="10.1109/TGRS.2024.3395483"/>
    <hyperlink ref="K50" r:id="rId48" display="10.1109/MWC.2025.3630114"/>
    <hyperlink ref="K51" r:id="rId49" display="10.3390/drones8070337"/>
    <hyperlink ref="K52" r:id="rId50" display="10.1109/ACCESS.2024.3420730"/>
    <hyperlink ref="K53" r:id="rId51" display="10.1109/ACCESS.2024.3363413"/>
    <hyperlink ref="K54" r:id="rId52" display="10.1109/TITS.2024.3509339"/>
    <hyperlink ref="K55" r:id="rId53" display="10.1109/TITS.2024.3511453"/>
    <hyperlink ref="K56" r:id="rId54" display="10.1145/3617992"/>
    <hyperlink ref="K57" r:id="rId55" display="10.3390/drones9030159"/>
    <hyperlink ref="K58" r:id="rId56" display="10.1109/TCOMM.2025.3642742"/>
    <hyperlink ref="K59" r:id="rId57" display="10.1109/TCCN.2025.3645407"/>
    <hyperlink ref="K60" r:id="rId58" display="10.3390/drones9050320"/>
    <hyperlink ref="K61" r:id="rId59" display="10.1016/j.tre.2024.10385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6"/>
    <col collapsed="false" customWidth="true" hidden="false" outlineLevel="0" max="5" min="4" style="0" width="8"/>
    <col collapsed="false" customWidth="true" hidden="false" outlineLevel="0" max="6" min="6" style="0" width="45"/>
    <col collapsed="false" customWidth="true" hidden="false" outlineLevel="0" max="7" min="7" style="0" width="90"/>
    <col collapsed="false" customWidth="true" hidden="false" outlineLevel="0" max="8" min="8" style="0" width="30"/>
    <col collapsed="false" customWidth="true" hidden="false" outlineLevel="0" max="9" min="9" style="0" width="25"/>
    <col collapsed="false" customWidth="true" hidden="false" outlineLevel="0" max="10" min="10" style="0" width="12"/>
    <col collapsed="false" customWidth="true" hidden="false" outlineLevel="0" max="11" min="11" style="0" width="22"/>
    <col collapsed="false" customWidth="true" hidden="false" outlineLevel="0" max="12" min="12" style="0" width="20"/>
    <col collapsed="false" customWidth="true" hidden="false" outlineLevel="0" max="13" min="13" style="0" width="11"/>
    <col collapsed="false" customWidth="true" hidden="false" outlineLevel="0" max="14" min="14" style="0" width="9"/>
    <col collapsed="false" customWidth="true" hidden="false" outlineLevel="0" max="15" min="15" style="0" width="30"/>
  </cols>
  <sheetData>
    <row r="1" customFormat="false" ht="23.85" hidden="false" customHeight="false" outlineLevel="0" collapsed="false">
      <c r="A1" s="6" t="s">
        <v>33</v>
      </c>
      <c r="B1" s="6" t="s">
        <v>34</v>
      </c>
      <c r="C1" s="6" t="s">
        <v>35</v>
      </c>
      <c r="D1" s="6" t="s">
        <v>36</v>
      </c>
      <c r="E1" s="6" t="s">
        <v>37</v>
      </c>
      <c r="F1" s="6" t="s">
        <v>38</v>
      </c>
      <c r="G1" s="6" t="s">
        <v>39</v>
      </c>
      <c r="H1" s="6" t="s">
        <v>40</v>
      </c>
      <c r="I1" s="6" t="s">
        <v>41</v>
      </c>
      <c r="J1" s="6" t="s">
        <v>42</v>
      </c>
      <c r="K1" s="6" t="s">
        <v>43</v>
      </c>
      <c r="L1" s="6" t="s">
        <v>44</v>
      </c>
      <c r="M1" s="6" t="s">
        <v>45</v>
      </c>
      <c r="N1" s="6" t="s">
        <v>46</v>
      </c>
      <c r="O1" s="6" t="s">
        <v>47</v>
      </c>
    </row>
    <row r="2" customFormat="false" ht="109.5" hidden="false" customHeight="true" outlineLevel="0" collapsed="false">
      <c r="A2" s="7" t="n">
        <v>1</v>
      </c>
      <c r="B2" s="7" t="s">
        <v>48</v>
      </c>
      <c r="C2" s="7" t="n">
        <v>2023</v>
      </c>
      <c r="D2" s="7" t="n">
        <v>229</v>
      </c>
      <c r="E2" s="7" t="n">
        <v>69.63</v>
      </c>
      <c r="F2" s="7" t="s">
        <v>701</v>
      </c>
      <c r="G2" s="7" t="s">
        <v>702</v>
      </c>
      <c r="H2" s="7" t="s">
        <v>703</v>
      </c>
      <c r="I2" s="7" t="s">
        <v>698</v>
      </c>
      <c r="J2" s="7" t="s">
        <v>59</v>
      </c>
      <c r="K2" s="8" t="s">
        <v>704</v>
      </c>
      <c r="L2" s="7" t="s">
        <v>705</v>
      </c>
      <c r="M2" s="9"/>
      <c r="N2" s="9"/>
      <c r="O2" s="9"/>
    </row>
    <row r="3" customFormat="false" ht="109.5" hidden="false" customHeight="true" outlineLevel="0" collapsed="false">
      <c r="A3" s="7" t="n">
        <v>2</v>
      </c>
      <c r="B3" s="7" t="s">
        <v>48</v>
      </c>
      <c r="C3" s="7" t="n">
        <v>2023</v>
      </c>
      <c r="D3" s="7" t="n">
        <v>218</v>
      </c>
      <c r="E3" s="7" t="n">
        <v>66.28</v>
      </c>
      <c r="F3" s="7" t="s">
        <v>706</v>
      </c>
      <c r="G3" s="7" t="s">
        <v>707</v>
      </c>
      <c r="H3" s="7"/>
      <c r="I3" s="7" t="s">
        <v>708</v>
      </c>
      <c r="J3" s="7" t="s">
        <v>52</v>
      </c>
      <c r="K3" s="8" t="s">
        <v>709</v>
      </c>
      <c r="L3" s="7" t="s">
        <v>710</v>
      </c>
      <c r="M3" s="9"/>
      <c r="N3" s="9"/>
      <c r="O3" s="9"/>
    </row>
    <row r="4" customFormat="false" ht="109.5" hidden="false" customHeight="true" outlineLevel="0" collapsed="false">
      <c r="A4" s="7" t="n">
        <v>3</v>
      </c>
      <c r="B4" s="7" t="s">
        <v>48</v>
      </c>
      <c r="C4" s="7" t="n">
        <v>2021</v>
      </c>
      <c r="D4" s="7" t="n">
        <v>349</v>
      </c>
      <c r="E4" s="7" t="n">
        <v>65.99</v>
      </c>
      <c r="F4" s="7" t="s">
        <v>711</v>
      </c>
      <c r="G4" s="7" t="s">
        <v>712</v>
      </c>
      <c r="H4" s="7" t="s">
        <v>713</v>
      </c>
      <c r="I4" s="7" t="s">
        <v>714</v>
      </c>
      <c r="J4" s="7" t="s">
        <v>59</v>
      </c>
      <c r="K4" s="8" t="s">
        <v>715</v>
      </c>
      <c r="L4" s="7" t="s">
        <v>716</v>
      </c>
      <c r="M4" s="9"/>
      <c r="N4" s="9"/>
      <c r="O4" s="9"/>
    </row>
    <row r="5" customFormat="false" ht="109.5" hidden="false" customHeight="true" outlineLevel="0" collapsed="false">
      <c r="A5" s="7" t="n">
        <v>4</v>
      </c>
      <c r="B5" s="7" t="s">
        <v>48</v>
      </c>
      <c r="C5" s="7" t="n">
        <v>2021</v>
      </c>
      <c r="D5" s="7" t="n">
        <v>341</v>
      </c>
      <c r="E5" s="7" t="n">
        <v>64.47</v>
      </c>
      <c r="F5" s="7" t="s">
        <v>717</v>
      </c>
      <c r="G5" s="7" t="s">
        <v>718</v>
      </c>
      <c r="H5" s="7" t="s">
        <v>719</v>
      </c>
      <c r="I5" s="7" t="s">
        <v>720</v>
      </c>
      <c r="J5" s="7" t="s">
        <v>59</v>
      </c>
      <c r="K5" s="8" t="s">
        <v>721</v>
      </c>
      <c r="L5" s="7" t="s">
        <v>722</v>
      </c>
      <c r="M5" s="9"/>
      <c r="N5" s="9"/>
      <c r="O5" s="9"/>
    </row>
    <row r="6" customFormat="false" ht="109.5" hidden="false" customHeight="true" outlineLevel="0" collapsed="false">
      <c r="A6" s="7" t="n">
        <v>5</v>
      </c>
      <c r="B6" s="7" t="s">
        <v>48</v>
      </c>
      <c r="C6" s="7" t="n">
        <v>2023</v>
      </c>
      <c r="D6" s="7" t="n">
        <v>190</v>
      </c>
      <c r="E6" s="7" t="n">
        <v>57.77</v>
      </c>
      <c r="F6" s="7" t="s">
        <v>723</v>
      </c>
      <c r="G6" s="7" t="s">
        <v>724</v>
      </c>
      <c r="H6" s="7" t="s">
        <v>725</v>
      </c>
      <c r="I6" s="7" t="s">
        <v>726</v>
      </c>
      <c r="J6" s="7" t="s">
        <v>59</v>
      </c>
      <c r="K6" s="8" t="s">
        <v>727</v>
      </c>
      <c r="L6" s="7" t="s">
        <v>728</v>
      </c>
      <c r="M6" s="9"/>
      <c r="N6" s="9"/>
      <c r="O6" s="9"/>
    </row>
    <row r="7" customFormat="false" ht="109.5" hidden="false" customHeight="true" outlineLevel="0" collapsed="false">
      <c r="A7" s="7" t="n">
        <v>6</v>
      </c>
      <c r="B7" s="7" t="s">
        <v>48</v>
      </c>
      <c r="C7" s="7" t="n">
        <v>2019</v>
      </c>
      <c r="D7" s="7" t="n">
        <v>383</v>
      </c>
      <c r="E7" s="7" t="n">
        <v>52.54</v>
      </c>
      <c r="F7" s="7" t="s">
        <v>729</v>
      </c>
      <c r="G7" s="7" t="s">
        <v>730</v>
      </c>
      <c r="H7" s="7" t="s">
        <v>731</v>
      </c>
      <c r="I7" s="7" t="s">
        <v>732</v>
      </c>
      <c r="J7" s="7" t="s">
        <v>59</v>
      </c>
      <c r="K7" s="8" t="s">
        <v>733</v>
      </c>
      <c r="L7" s="7" t="s">
        <v>734</v>
      </c>
      <c r="M7" s="9"/>
      <c r="N7" s="9"/>
      <c r="O7" s="9"/>
    </row>
    <row r="8" customFormat="false" ht="109.5" hidden="false" customHeight="true" outlineLevel="0" collapsed="false">
      <c r="A8" s="7" t="n">
        <v>7</v>
      </c>
      <c r="B8" s="7" t="s">
        <v>48</v>
      </c>
      <c r="C8" s="7" t="n">
        <v>2020</v>
      </c>
      <c r="D8" s="7" t="n">
        <v>286</v>
      </c>
      <c r="E8" s="7" t="n">
        <v>45.48</v>
      </c>
      <c r="F8" s="7" t="s">
        <v>735</v>
      </c>
      <c r="G8" s="7" t="s">
        <v>736</v>
      </c>
      <c r="H8" s="7" t="s">
        <v>737</v>
      </c>
      <c r="I8" s="7" t="s">
        <v>223</v>
      </c>
      <c r="J8" s="7" t="s">
        <v>59</v>
      </c>
      <c r="K8" s="8" t="s">
        <v>738</v>
      </c>
      <c r="L8" s="7" t="s">
        <v>739</v>
      </c>
      <c r="M8" s="9"/>
      <c r="N8" s="9"/>
      <c r="O8" s="9"/>
    </row>
    <row r="9" customFormat="false" ht="109.5" hidden="false" customHeight="true" outlineLevel="0" collapsed="false">
      <c r="A9" s="7" t="n">
        <v>8</v>
      </c>
      <c r="B9" s="7" t="s">
        <v>48</v>
      </c>
      <c r="C9" s="7" t="n">
        <v>2020</v>
      </c>
      <c r="D9" s="7" t="n">
        <v>271</v>
      </c>
      <c r="E9" s="7" t="n">
        <v>43.09</v>
      </c>
      <c r="F9" s="7" t="s">
        <v>740</v>
      </c>
      <c r="G9" s="7" t="s">
        <v>741</v>
      </c>
      <c r="H9" s="7" t="s">
        <v>742</v>
      </c>
      <c r="I9" s="7" t="s">
        <v>743</v>
      </c>
      <c r="J9" s="7" t="s">
        <v>59</v>
      </c>
      <c r="K9" s="8" t="s">
        <v>744</v>
      </c>
      <c r="L9" s="7" t="s">
        <v>745</v>
      </c>
      <c r="M9" s="9"/>
      <c r="N9" s="9"/>
      <c r="O9" s="9"/>
    </row>
    <row r="10" customFormat="false" ht="109.5" hidden="false" customHeight="true" outlineLevel="0" collapsed="false">
      <c r="A10" s="7" t="n">
        <v>9</v>
      </c>
      <c r="B10" s="7" t="s">
        <v>48</v>
      </c>
      <c r="C10" s="7" t="n">
        <v>2023</v>
      </c>
      <c r="D10" s="7" t="n">
        <v>137</v>
      </c>
      <c r="E10" s="7" t="n">
        <v>41.65</v>
      </c>
      <c r="F10" s="7" t="s">
        <v>746</v>
      </c>
      <c r="G10" s="7" t="s">
        <v>747</v>
      </c>
      <c r="H10" s="7"/>
      <c r="I10" s="7" t="s">
        <v>748</v>
      </c>
      <c r="J10" s="7" t="s">
        <v>59</v>
      </c>
      <c r="K10" s="8" t="s">
        <v>749</v>
      </c>
      <c r="L10" s="7" t="s">
        <v>750</v>
      </c>
      <c r="M10" s="9"/>
      <c r="N10" s="9"/>
      <c r="O10" s="9"/>
    </row>
    <row r="11" customFormat="false" ht="109.5" hidden="false" customHeight="true" outlineLevel="0" collapsed="false">
      <c r="A11" s="7" t="n">
        <v>10</v>
      </c>
      <c r="B11" s="7" t="s">
        <v>48</v>
      </c>
      <c r="C11" s="7" t="n">
        <v>2021</v>
      </c>
      <c r="D11" s="7" t="n">
        <v>218</v>
      </c>
      <c r="E11" s="7" t="n">
        <v>41.22</v>
      </c>
      <c r="F11" s="7" t="s">
        <v>751</v>
      </c>
      <c r="G11" s="7" t="s">
        <v>752</v>
      </c>
      <c r="H11" s="7" t="s">
        <v>753</v>
      </c>
      <c r="I11" s="7" t="s">
        <v>754</v>
      </c>
      <c r="J11" s="7" t="s">
        <v>59</v>
      </c>
      <c r="K11" s="8" t="s">
        <v>755</v>
      </c>
      <c r="L11" s="7" t="s">
        <v>756</v>
      </c>
      <c r="M11" s="9"/>
      <c r="N11" s="9"/>
      <c r="O11" s="9"/>
    </row>
    <row r="12" customFormat="false" ht="109.5" hidden="false" customHeight="true" outlineLevel="0" collapsed="false">
      <c r="A12" s="7" t="n">
        <v>11</v>
      </c>
      <c r="B12" s="7" t="s">
        <v>48</v>
      </c>
      <c r="C12" s="7" t="n">
        <v>2023</v>
      </c>
      <c r="D12" s="7" t="n">
        <v>125</v>
      </c>
      <c r="E12" s="7" t="n">
        <v>38</v>
      </c>
      <c r="F12" s="7" t="s">
        <v>757</v>
      </c>
      <c r="G12" s="7" t="s">
        <v>758</v>
      </c>
      <c r="H12" s="7" t="s">
        <v>759</v>
      </c>
      <c r="I12" s="7" t="s">
        <v>743</v>
      </c>
      <c r="J12" s="7" t="s">
        <v>59</v>
      </c>
      <c r="K12" s="8" t="s">
        <v>760</v>
      </c>
      <c r="L12" s="7" t="s">
        <v>761</v>
      </c>
      <c r="M12" s="9"/>
      <c r="N12" s="9"/>
      <c r="O12" s="9"/>
    </row>
    <row r="13" customFormat="false" ht="109.5" hidden="false" customHeight="true" outlineLevel="0" collapsed="false">
      <c r="A13" s="7" t="n">
        <v>12</v>
      </c>
      <c r="B13" s="7" t="s">
        <v>48</v>
      </c>
      <c r="C13" s="7" t="n">
        <v>2021</v>
      </c>
      <c r="D13" s="7" t="n">
        <v>197</v>
      </c>
      <c r="E13" s="7" t="n">
        <v>37.25</v>
      </c>
      <c r="F13" s="7" t="s">
        <v>762</v>
      </c>
      <c r="G13" s="7" t="s">
        <v>763</v>
      </c>
      <c r="H13" s="7" t="s">
        <v>764</v>
      </c>
      <c r="I13" s="7" t="s">
        <v>743</v>
      </c>
      <c r="J13" s="7" t="s">
        <v>59</v>
      </c>
      <c r="K13" s="8" t="s">
        <v>765</v>
      </c>
      <c r="L13" s="7" t="s">
        <v>766</v>
      </c>
      <c r="M13" s="9"/>
      <c r="N13" s="9"/>
      <c r="O13" s="9"/>
    </row>
    <row r="14" customFormat="false" ht="109.5" hidden="false" customHeight="true" outlineLevel="0" collapsed="false">
      <c r="A14" s="7" t="n">
        <v>13</v>
      </c>
      <c r="B14" s="7" t="s">
        <v>48</v>
      </c>
      <c r="C14" s="7" t="n">
        <v>2019</v>
      </c>
      <c r="D14" s="7" t="n">
        <v>268</v>
      </c>
      <c r="E14" s="7" t="n">
        <v>36.77</v>
      </c>
      <c r="F14" s="7" t="s">
        <v>767</v>
      </c>
      <c r="G14" s="7" t="s">
        <v>768</v>
      </c>
      <c r="H14" s="7" t="s">
        <v>769</v>
      </c>
      <c r="I14" s="7" t="s">
        <v>770</v>
      </c>
      <c r="J14" s="7" t="s">
        <v>59</v>
      </c>
      <c r="K14" s="8" t="s">
        <v>771</v>
      </c>
      <c r="L14" s="7" t="s">
        <v>772</v>
      </c>
      <c r="M14" s="9"/>
      <c r="N14" s="9"/>
      <c r="O14" s="9"/>
    </row>
    <row r="15" customFormat="false" ht="109.5" hidden="false" customHeight="true" outlineLevel="0" collapsed="false">
      <c r="A15" s="7" t="n">
        <v>14</v>
      </c>
      <c r="B15" s="7" t="s">
        <v>48</v>
      </c>
      <c r="C15" s="7" t="n">
        <v>2023</v>
      </c>
      <c r="D15" s="7" t="n">
        <v>119</v>
      </c>
      <c r="E15" s="7" t="n">
        <v>36.18</v>
      </c>
      <c r="F15" s="7" t="s">
        <v>773</v>
      </c>
      <c r="G15" s="7" t="s">
        <v>774</v>
      </c>
      <c r="H15" s="7" t="s">
        <v>775</v>
      </c>
      <c r="I15" s="7" t="s">
        <v>726</v>
      </c>
      <c r="J15" s="7" t="s">
        <v>59</v>
      </c>
      <c r="K15" s="8" t="s">
        <v>776</v>
      </c>
      <c r="L15" s="7" t="s">
        <v>777</v>
      </c>
      <c r="M15" s="9"/>
      <c r="N15" s="9"/>
      <c r="O15" s="9"/>
    </row>
    <row r="16" customFormat="false" ht="109.5" hidden="false" customHeight="true" outlineLevel="0" collapsed="false">
      <c r="A16" s="7" t="n">
        <v>15</v>
      </c>
      <c r="B16" s="7" t="s">
        <v>48</v>
      </c>
      <c r="C16" s="7" t="n">
        <v>2016</v>
      </c>
      <c r="D16" s="7" t="n">
        <v>365</v>
      </c>
      <c r="E16" s="7" t="n">
        <v>35.47</v>
      </c>
      <c r="F16" s="7" t="s">
        <v>778</v>
      </c>
      <c r="G16" s="7" t="s">
        <v>779</v>
      </c>
      <c r="H16" s="7" t="s">
        <v>780</v>
      </c>
      <c r="I16" s="7" t="s">
        <v>76</v>
      </c>
      <c r="J16" s="7" t="s">
        <v>59</v>
      </c>
      <c r="K16" s="8" t="s">
        <v>781</v>
      </c>
      <c r="L16" s="7" t="s">
        <v>782</v>
      </c>
      <c r="M16" s="9"/>
      <c r="N16" s="9"/>
      <c r="O16" s="9"/>
    </row>
    <row r="17" customFormat="false" ht="109.5" hidden="false" customHeight="true" outlineLevel="0" collapsed="false">
      <c r="A17" s="7" t="n">
        <v>16</v>
      </c>
      <c r="B17" s="7" t="s">
        <v>48</v>
      </c>
      <c r="C17" s="7" t="n">
        <v>2023</v>
      </c>
      <c r="D17" s="7" t="n">
        <v>116</v>
      </c>
      <c r="E17" s="7" t="n">
        <v>35.27</v>
      </c>
      <c r="F17" s="7" t="s">
        <v>783</v>
      </c>
      <c r="G17" s="7" t="s">
        <v>784</v>
      </c>
      <c r="H17" s="7" t="s">
        <v>785</v>
      </c>
      <c r="I17" s="7" t="s">
        <v>743</v>
      </c>
      <c r="J17" s="7" t="s">
        <v>59</v>
      </c>
      <c r="K17" s="8" t="s">
        <v>786</v>
      </c>
      <c r="L17" s="7" t="s">
        <v>787</v>
      </c>
      <c r="M17" s="9"/>
      <c r="N17" s="9"/>
      <c r="O17" s="9"/>
    </row>
    <row r="18" customFormat="false" ht="109.5" hidden="false" customHeight="true" outlineLevel="0" collapsed="false">
      <c r="A18" s="7" t="n">
        <v>17</v>
      </c>
      <c r="B18" s="7" t="s">
        <v>48</v>
      </c>
      <c r="C18" s="7" t="n">
        <v>2023</v>
      </c>
      <c r="D18" s="7" t="n">
        <v>113</v>
      </c>
      <c r="E18" s="7" t="n">
        <v>34.36</v>
      </c>
      <c r="F18" s="7" t="s">
        <v>788</v>
      </c>
      <c r="G18" s="7" t="s">
        <v>789</v>
      </c>
      <c r="H18" s="7" t="s">
        <v>790</v>
      </c>
      <c r="I18" s="7" t="s">
        <v>698</v>
      </c>
      <c r="J18" s="7" t="s">
        <v>59</v>
      </c>
      <c r="K18" s="8" t="s">
        <v>791</v>
      </c>
      <c r="L18" s="7" t="s">
        <v>792</v>
      </c>
      <c r="M18" s="9"/>
      <c r="N18" s="9"/>
      <c r="O18" s="9"/>
    </row>
    <row r="19" customFormat="false" ht="109.5" hidden="false" customHeight="true" outlineLevel="0" collapsed="false">
      <c r="A19" s="7" t="n">
        <v>18</v>
      </c>
      <c r="B19" s="7" t="s">
        <v>48</v>
      </c>
      <c r="C19" s="7" t="n">
        <v>2019</v>
      </c>
      <c r="D19" s="7" t="n">
        <v>246</v>
      </c>
      <c r="E19" s="7" t="n">
        <v>33.75</v>
      </c>
      <c r="F19" s="7" t="s">
        <v>793</v>
      </c>
      <c r="G19" s="7" t="s">
        <v>794</v>
      </c>
      <c r="H19" s="7" t="s">
        <v>795</v>
      </c>
      <c r="I19" s="7" t="s">
        <v>743</v>
      </c>
      <c r="J19" s="7" t="s">
        <v>59</v>
      </c>
      <c r="K19" s="8" t="s">
        <v>796</v>
      </c>
      <c r="L19" s="7" t="s">
        <v>797</v>
      </c>
      <c r="M19" s="9"/>
      <c r="N19" s="9"/>
      <c r="O19" s="9"/>
    </row>
    <row r="20" customFormat="false" ht="109.5" hidden="false" customHeight="true" outlineLevel="0" collapsed="false">
      <c r="A20" s="7" t="n">
        <v>19</v>
      </c>
      <c r="B20" s="7" t="s">
        <v>48</v>
      </c>
      <c r="C20" s="7" t="n">
        <v>2020</v>
      </c>
      <c r="D20" s="7" t="n">
        <v>212</v>
      </c>
      <c r="E20" s="7" t="n">
        <v>33.71</v>
      </c>
      <c r="F20" s="7" t="s">
        <v>798</v>
      </c>
      <c r="G20" s="7" t="s">
        <v>799</v>
      </c>
      <c r="H20" s="7" t="s">
        <v>800</v>
      </c>
      <c r="I20" s="7" t="s">
        <v>801</v>
      </c>
      <c r="J20" s="7" t="s">
        <v>59</v>
      </c>
      <c r="K20" s="8" t="s">
        <v>802</v>
      </c>
      <c r="L20" s="7" t="s">
        <v>803</v>
      </c>
      <c r="M20" s="9"/>
      <c r="N20" s="9"/>
      <c r="O20" s="9"/>
    </row>
    <row r="21" customFormat="false" ht="109.5" hidden="false" customHeight="true" outlineLevel="0" collapsed="false">
      <c r="A21" s="7" t="n">
        <v>20</v>
      </c>
      <c r="B21" s="7" t="s">
        <v>48</v>
      </c>
      <c r="C21" s="7" t="n">
        <v>2023</v>
      </c>
      <c r="D21" s="7" t="n">
        <v>110</v>
      </c>
      <c r="E21" s="7" t="n">
        <v>33.44</v>
      </c>
      <c r="F21" s="7" t="s">
        <v>804</v>
      </c>
      <c r="G21" s="7" t="s">
        <v>805</v>
      </c>
      <c r="H21" s="7" t="s">
        <v>806</v>
      </c>
      <c r="I21" s="7" t="s">
        <v>743</v>
      </c>
      <c r="J21" s="7" t="s">
        <v>59</v>
      </c>
      <c r="K21" s="8" t="s">
        <v>807</v>
      </c>
      <c r="L21" s="7" t="s">
        <v>808</v>
      </c>
      <c r="M21" s="9"/>
      <c r="N21" s="9"/>
      <c r="O21" s="9"/>
    </row>
    <row r="22" customFormat="false" ht="109.5" hidden="false" customHeight="true" outlineLevel="0" collapsed="false">
      <c r="A22" s="7" t="n">
        <v>21</v>
      </c>
      <c r="B22" s="7" t="s">
        <v>48</v>
      </c>
      <c r="C22" s="7" t="n">
        <v>2019</v>
      </c>
      <c r="D22" s="7" t="n">
        <v>242</v>
      </c>
      <c r="E22" s="7" t="n">
        <v>33.2</v>
      </c>
      <c r="F22" s="7" t="s">
        <v>809</v>
      </c>
      <c r="G22" s="7" t="s">
        <v>810</v>
      </c>
      <c r="H22" s="7" t="s">
        <v>811</v>
      </c>
      <c r="I22" s="7" t="s">
        <v>743</v>
      </c>
      <c r="J22" s="7" t="s">
        <v>59</v>
      </c>
      <c r="K22" s="8" t="s">
        <v>812</v>
      </c>
      <c r="L22" s="7" t="s">
        <v>813</v>
      </c>
      <c r="M22" s="9"/>
      <c r="N22" s="9"/>
      <c r="O22" s="9"/>
    </row>
    <row r="23" customFormat="false" ht="109.5" hidden="false" customHeight="true" outlineLevel="0" collapsed="false">
      <c r="A23" s="7" t="n">
        <v>22</v>
      </c>
      <c r="B23" s="7" t="s">
        <v>48</v>
      </c>
      <c r="C23" s="7" t="n">
        <v>2023</v>
      </c>
      <c r="D23" s="7" t="n">
        <v>103</v>
      </c>
      <c r="E23" s="7" t="n">
        <v>31.32</v>
      </c>
      <c r="F23" s="7" t="s">
        <v>814</v>
      </c>
      <c r="G23" s="7" t="s">
        <v>815</v>
      </c>
      <c r="H23" s="7" t="s">
        <v>816</v>
      </c>
      <c r="I23" s="7" t="s">
        <v>743</v>
      </c>
      <c r="J23" s="7" t="s">
        <v>59</v>
      </c>
      <c r="K23" s="8" t="s">
        <v>817</v>
      </c>
      <c r="L23" s="7" t="s">
        <v>818</v>
      </c>
      <c r="M23" s="9"/>
      <c r="N23" s="9"/>
      <c r="O23" s="9"/>
    </row>
    <row r="24" customFormat="false" ht="109.5" hidden="false" customHeight="true" outlineLevel="0" collapsed="false">
      <c r="A24" s="7" t="n">
        <v>23</v>
      </c>
      <c r="B24" s="7" t="s">
        <v>48</v>
      </c>
      <c r="C24" s="7" t="n">
        <v>2023</v>
      </c>
      <c r="D24" s="7" t="n">
        <v>103</v>
      </c>
      <c r="E24" s="7" t="n">
        <v>31.32</v>
      </c>
      <c r="F24" s="7" t="s">
        <v>819</v>
      </c>
      <c r="G24" s="7" t="s">
        <v>820</v>
      </c>
      <c r="H24" s="7" t="s">
        <v>821</v>
      </c>
      <c r="I24" s="7" t="s">
        <v>743</v>
      </c>
      <c r="J24" s="7" t="s">
        <v>59</v>
      </c>
      <c r="K24" s="8" t="s">
        <v>822</v>
      </c>
      <c r="L24" s="7" t="s">
        <v>823</v>
      </c>
      <c r="M24" s="9"/>
      <c r="N24" s="9"/>
      <c r="O24" s="9"/>
    </row>
    <row r="25" customFormat="false" ht="109.5" hidden="false" customHeight="true" outlineLevel="0" collapsed="false">
      <c r="A25" s="7" t="n">
        <v>24</v>
      </c>
      <c r="B25" s="7" t="s">
        <v>48</v>
      </c>
      <c r="C25" s="7" t="n">
        <v>2021</v>
      </c>
      <c r="D25" s="7" t="n">
        <v>164</v>
      </c>
      <c r="E25" s="7" t="n">
        <v>31.01</v>
      </c>
      <c r="F25" s="7" t="s">
        <v>824</v>
      </c>
      <c r="G25" s="7" t="s">
        <v>825</v>
      </c>
      <c r="H25" s="7" t="s">
        <v>826</v>
      </c>
      <c r="I25" s="7" t="s">
        <v>121</v>
      </c>
      <c r="J25" s="7" t="s">
        <v>59</v>
      </c>
      <c r="K25" s="8" t="s">
        <v>827</v>
      </c>
      <c r="L25" s="7" t="s">
        <v>828</v>
      </c>
      <c r="M25" s="9"/>
      <c r="N25" s="9"/>
      <c r="O25" s="9"/>
    </row>
    <row r="26" customFormat="false" ht="109.5" hidden="false" customHeight="true" outlineLevel="0" collapsed="false">
      <c r="A26" s="7" t="n">
        <v>25</v>
      </c>
      <c r="B26" s="7" t="s">
        <v>48</v>
      </c>
      <c r="C26" s="7" t="n">
        <v>2020</v>
      </c>
      <c r="D26" s="7" t="n">
        <v>185</v>
      </c>
      <c r="E26" s="7" t="n">
        <v>29.42</v>
      </c>
      <c r="F26" s="7" t="s">
        <v>829</v>
      </c>
      <c r="G26" s="7" t="s">
        <v>830</v>
      </c>
      <c r="H26" s="7" t="s">
        <v>831</v>
      </c>
      <c r="I26" s="7" t="s">
        <v>743</v>
      </c>
      <c r="J26" s="7" t="s">
        <v>59</v>
      </c>
      <c r="K26" s="8" t="s">
        <v>832</v>
      </c>
      <c r="L26" s="7" t="s">
        <v>833</v>
      </c>
      <c r="M26" s="9"/>
      <c r="N26" s="9"/>
      <c r="O26" s="9"/>
    </row>
    <row r="27" customFormat="false" ht="109.5" hidden="false" customHeight="true" outlineLevel="0" collapsed="false">
      <c r="A27" s="7" t="n">
        <v>26</v>
      </c>
      <c r="B27" s="7" t="s">
        <v>48</v>
      </c>
      <c r="C27" s="7" t="n">
        <v>2021</v>
      </c>
      <c r="D27" s="7" t="n">
        <v>141</v>
      </c>
      <c r="E27" s="7" t="n">
        <v>26.66</v>
      </c>
      <c r="F27" s="7" t="s">
        <v>834</v>
      </c>
      <c r="G27" s="7" t="s">
        <v>835</v>
      </c>
      <c r="H27" s="7" t="s">
        <v>836</v>
      </c>
      <c r="I27" s="7" t="s">
        <v>448</v>
      </c>
      <c r="J27" s="7" t="s">
        <v>59</v>
      </c>
      <c r="K27" s="8" t="s">
        <v>837</v>
      </c>
      <c r="L27" s="7" t="s">
        <v>838</v>
      </c>
      <c r="M27" s="9"/>
      <c r="N27" s="9"/>
      <c r="O27" s="9"/>
    </row>
    <row r="28" customFormat="false" ht="109.5" hidden="false" customHeight="true" outlineLevel="0" collapsed="false">
      <c r="A28" s="7" t="n">
        <v>27</v>
      </c>
      <c r="B28" s="7" t="s">
        <v>48</v>
      </c>
      <c r="C28" s="7" t="n">
        <v>2022</v>
      </c>
      <c r="D28" s="7" t="n">
        <v>114</v>
      </c>
      <c r="E28" s="7" t="n">
        <v>26.58</v>
      </c>
      <c r="F28" s="7" t="s">
        <v>839</v>
      </c>
      <c r="G28" s="7" t="s">
        <v>840</v>
      </c>
      <c r="H28" s="7" t="s">
        <v>841</v>
      </c>
      <c r="I28" s="7" t="s">
        <v>842</v>
      </c>
      <c r="J28" s="7" t="s">
        <v>59</v>
      </c>
      <c r="K28" s="8" t="s">
        <v>843</v>
      </c>
      <c r="L28" s="7" t="s">
        <v>844</v>
      </c>
      <c r="M28" s="9"/>
      <c r="N28" s="9"/>
      <c r="O28" s="9"/>
    </row>
    <row r="29" customFormat="false" ht="109.5" hidden="false" customHeight="true" outlineLevel="0" collapsed="false">
      <c r="A29" s="7" t="n">
        <v>28</v>
      </c>
      <c r="B29" s="7" t="s">
        <v>48</v>
      </c>
      <c r="C29" s="7" t="n">
        <v>2018</v>
      </c>
      <c r="D29" s="7" t="n">
        <v>220</v>
      </c>
      <c r="E29" s="7" t="n">
        <v>26.54</v>
      </c>
      <c r="F29" s="7" t="s">
        <v>845</v>
      </c>
      <c r="G29" s="7" t="s">
        <v>846</v>
      </c>
      <c r="H29" s="7" t="s">
        <v>847</v>
      </c>
      <c r="I29" s="7" t="s">
        <v>380</v>
      </c>
      <c r="J29" s="7" t="s">
        <v>59</v>
      </c>
      <c r="K29" s="8" t="s">
        <v>848</v>
      </c>
      <c r="L29" s="7" t="s">
        <v>849</v>
      </c>
      <c r="M29" s="9"/>
      <c r="N29" s="9"/>
      <c r="O29" s="9"/>
    </row>
    <row r="30" customFormat="false" ht="109.5" hidden="false" customHeight="true" outlineLevel="0" collapsed="false">
      <c r="A30" s="7" t="n">
        <v>29</v>
      </c>
      <c r="B30" s="7" t="s">
        <v>48</v>
      </c>
      <c r="C30" s="7" t="n">
        <v>2023</v>
      </c>
      <c r="D30" s="7" t="n">
        <v>80</v>
      </c>
      <c r="E30" s="7" t="n">
        <v>24.32</v>
      </c>
      <c r="F30" s="7" t="s">
        <v>850</v>
      </c>
      <c r="G30" s="7" t="s">
        <v>851</v>
      </c>
      <c r="H30" s="7" t="s">
        <v>852</v>
      </c>
      <c r="I30" s="7" t="s">
        <v>720</v>
      </c>
      <c r="J30" s="7" t="s">
        <v>59</v>
      </c>
      <c r="K30" s="8" t="s">
        <v>853</v>
      </c>
      <c r="L30" s="7" t="s">
        <v>854</v>
      </c>
      <c r="M30" s="9"/>
      <c r="N30" s="9"/>
      <c r="O30" s="9"/>
    </row>
    <row r="31" customFormat="false" ht="109.5" hidden="false" customHeight="true" outlineLevel="0" collapsed="false">
      <c r="A31" s="7" t="n">
        <v>30</v>
      </c>
      <c r="B31" s="7" t="s">
        <v>48</v>
      </c>
      <c r="C31" s="7" t="n">
        <v>2023</v>
      </c>
      <c r="D31" s="7" t="n">
        <v>77</v>
      </c>
      <c r="E31" s="7" t="n">
        <v>23.41</v>
      </c>
      <c r="F31" s="7" t="s">
        <v>855</v>
      </c>
      <c r="G31" s="7" t="s">
        <v>856</v>
      </c>
      <c r="H31" s="7" t="s">
        <v>857</v>
      </c>
      <c r="I31" s="7" t="s">
        <v>770</v>
      </c>
      <c r="J31" s="7" t="s">
        <v>59</v>
      </c>
      <c r="K31" s="8" t="s">
        <v>858</v>
      </c>
      <c r="L31" s="7" t="s">
        <v>859</v>
      </c>
      <c r="M31" s="9"/>
      <c r="N31" s="9"/>
      <c r="O31" s="9"/>
    </row>
    <row r="32" customFormat="false" ht="109.5" hidden="false" customHeight="true" outlineLevel="0" collapsed="false">
      <c r="A32" s="7" t="n">
        <v>31</v>
      </c>
      <c r="B32" s="7" t="s">
        <v>48</v>
      </c>
      <c r="C32" s="7" t="n">
        <v>2023</v>
      </c>
      <c r="D32" s="7" t="n">
        <v>77</v>
      </c>
      <c r="E32" s="7" t="n">
        <v>23.41</v>
      </c>
      <c r="F32" s="7" t="s">
        <v>860</v>
      </c>
      <c r="G32" s="7" t="s">
        <v>861</v>
      </c>
      <c r="H32" s="7" t="s">
        <v>862</v>
      </c>
      <c r="I32" s="7" t="s">
        <v>743</v>
      </c>
      <c r="J32" s="7" t="s">
        <v>59</v>
      </c>
      <c r="K32" s="8" t="s">
        <v>863</v>
      </c>
      <c r="L32" s="7" t="s">
        <v>864</v>
      </c>
      <c r="M32" s="9"/>
      <c r="N32" s="9"/>
      <c r="O32" s="9"/>
    </row>
    <row r="33" customFormat="false" ht="109.5" hidden="false" customHeight="true" outlineLevel="0" collapsed="false">
      <c r="A33" s="7" t="n">
        <v>32</v>
      </c>
      <c r="B33" s="7" t="s">
        <v>48</v>
      </c>
      <c r="C33" s="7" t="n">
        <v>2021</v>
      </c>
      <c r="D33" s="7" t="n">
        <v>123</v>
      </c>
      <c r="E33" s="7" t="n">
        <v>23.26</v>
      </c>
      <c r="F33" s="7" t="s">
        <v>865</v>
      </c>
      <c r="G33" s="7" t="s">
        <v>866</v>
      </c>
      <c r="H33" s="7" t="s">
        <v>867</v>
      </c>
      <c r="I33" s="7" t="s">
        <v>121</v>
      </c>
      <c r="J33" s="7" t="s">
        <v>59</v>
      </c>
      <c r="K33" s="8" t="s">
        <v>868</v>
      </c>
      <c r="L33" s="7" t="s">
        <v>869</v>
      </c>
      <c r="M33" s="9"/>
      <c r="N33" s="9"/>
      <c r="O33" s="9"/>
    </row>
    <row r="34" customFormat="false" ht="109.5" hidden="false" customHeight="true" outlineLevel="0" collapsed="false">
      <c r="A34" s="7" t="n">
        <v>33</v>
      </c>
      <c r="B34" s="7" t="s">
        <v>48</v>
      </c>
      <c r="C34" s="7" t="n">
        <v>2020</v>
      </c>
      <c r="D34" s="7" t="n">
        <v>142</v>
      </c>
      <c r="E34" s="7" t="n">
        <v>22.58</v>
      </c>
      <c r="F34" s="7" t="s">
        <v>870</v>
      </c>
      <c r="G34" s="7" t="s">
        <v>871</v>
      </c>
      <c r="H34" s="7" t="s">
        <v>872</v>
      </c>
      <c r="I34" s="7" t="s">
        <v>801</v>
      </c>
      <c r="J34" s="7" t="s">
        <v>59</v>
      </c>
      <c r="K34" s="8" t="s">
        <v>873</v>
      </c>
      <c r="L34" s="7" t="s">
        <v>874</v>
      </c>
      <c r="M34" s="9"/>
      <c r="N34" s="9"/>
      <c r="O34" s="9"/>
    </row>
    <row r="35" customFormat="false" ht="109.5" hidden="false" customHeight="true" outlineLevel="0" collapsed="false">
      <c r="A35" s="7" t="n">
        <v>34</v>
      </c>
      <c r="B35" s="7" t="s">
        <v>48</v>
      </c>
      <c r="C35" s="7" t="n">
        <v>2020</v>
      </c>
      <c r="D35" s="7" t="n">
        <v>134</v>
      </c>
      <c r="E35" s="7" t="n">
        <v>21.31</v>
      </c>
      <c r="F35" s="7" t="s">
        <v>875</v>
      </c>
      <c r="G35" s="7" t="s">
        <v>876</v>
      </c>
      <c r="H35" s="7" t="s">
        <v>877</v>
      </c>
      <c r="I35" s="7" t="s">
        <v>878</v>
      </c>
      <c r="J35" s="7" t="s">
        <v>59</v>
      </c>
      <c r="K35" s="8" t="s">
        <v>879</v>
      </c>
      <c r="L35" s="7" t="s">
        <v>880</v>
      </c>
      <c r="M35" s="9"/>
      <c r="N35" s="9"/>
      <c r="O35" s="9"/>
    </row>
    <row r="36" customFormat="false" ht="109.5" hidden="false" customHeight="true" outlineLevel="0" collapsed="false">
      <c r="A36" s="7" t="n">
        <v>35</v>
      </c>
      <c r="B36" s="7" t="s">
        <v>48</v>
      </c>
      <c r="C36" s="7" t="n">
        <v>2023</v>
      </c>
      <c r="D36" s="7" t="n">
        <v>70</v>
      </c>
      <c r="E36" s="7" t="n">
        <v>21.28</v>
      </c>
      <c r="F36" s="7" t="s">
        <v>881</v>
      </c>
      <c r="G36" s="7" t="s">
        <v>882</v>
      </c>
      <c r="H36" s="7" t="s">
        <v>883</v>
      </c>
      <c r="I36" s="7" t="s">
        <v>720</v>
      </c>
      <c r="J36" s="7" t="s">
        <v>59</v>
      </c>
      <c r="K36" s="8" t="s">
        <v>884</v>
      </c>
      <c r="L36" s="7" t="s">
        <v>885</v>
      </c>
      <c r="M36" s="9"/>
      <c r="N36" s="9"/>
      <c r="O36" s="9"/>
    </row>
    <row r="37" customFormat="false" ht="109.5" hidden="false" customHeight="true" outlineLevel="0" collapsed="false">
      <c r="A37" s="7" t="n">
        <v>36</v>
      </c>
      <c r="B37" s="7" t="s">
        <v>48</v>
      </c>
      <c r="C37" s="7" t="n">
        <v>2020</v>
      </c>
      <c r="D37" s="7" t="n">
        <v>133</v>
      </c>
      <c r="E37" s="7" t="n">
        <v>21.15</v>
      </c>
      <c r="F37" s="7" t="s">
        <v>886</v>
      </c>
      <c r="G37" s="7" t="s">
        <v>887</v>
      </c>
      <c r="H37" s="7" t="s">
        <v>888</v>
      </c>
      <c r="I37" s="7" t="s">
        <v>743</v>
      </c>
      <c r="J37" s="7" t="s">
        <v>59</v>
      </c>
      <c r="K37" s="8" t="s">
        <v>889</v>
      </c>
      <c r="L37" s="7" t="s">
        <v>890</v>
      </c>
      <c r="M37" s="9"/>
      <c r="N37" s="9"/>
      <c r="O37" s="9"/>
    </row>
    <row r="38" customFormat="false" ht="109.5" hidden="false" customHeight="true" outlineLevel="0" collapsed="false">
      <c r="A38" s="7" t="n">
        <v>37</v>
      </c>
      <c r="B38" s="7" t="s">
        <v>48</v>
      </c>
      <c r="C38" s="7" t="n">
        <v>2018</v>
      </c>
      <c r="D38" s="7" t="n">
        <v>175</v>
      </c>
      <c r="E38" s="7" t="n">
        <v>21.11</v>
      </c>
      <c r="F38" s="7" t="s">
        <v>891</v>
      </c>
      <c r="G38" s="7" t="s">
        <v>892</v>
      </c>
      <c r="H38" s="7" t="s">
        <v>893</v>
      </c>
      <c r="I38" s="7" t="s">
        <v>743</v>
      </c>
      <c r="J38" s="7" t="s">
        <v>59</v>
      </c>
      <c r="K38" s="8" t="s">
        <v>894</v>
      </c>
      <c r="L38" s="7" t="s">
        <v>895</v>
      </c>
      <c r="M38" s="9"/>
      <c r="N38" s="9"/>
      <c r="O38" s="9"/>
    </row>
    <row r="39" customFormat="false" ht="109.5" hidden="false" customHeight="true" outlineLevel="0" collapsed="false">
      <c r="A39" s="7" t="n">
        <v>38</v>
      </c>
      <c r="B39" s="7" t="s">
        <v>48</v>
      </c>
      <c r="C39" s="7" t="n">
        <v>2022</v>
      </c>
      <c r="D39" s="7" t="n">
        <v>90</v>
      </c>
      <c r="E39" s="7" t="n">
        <v>20.98</v>
      </c>
      <c r="F39" s="7" t="s">
        <v>896</v>
      </c>
      <c r="G39" s="7" t="s">
        <v>897</v>
      </c>
      <c r="H39" s="7" t="s">
        <v>898</v>
      </c>
      <c r="I39" s="7" t="s">
        <v>260</v>
      </c>
      <c r="J39" s="7" t="s">
        <v>59</v>
      </c>
      <c r="K39" s="8" t="s">
        <v>899</v>
      </c>
      <c r="L39" s="7" t="s">
        <v>900</v>
      </c>
      <c r="M39" s="9"/>
      <c r="N39" s="9"/>
      <c r="O39" s="9"/>
    </row>
    <row r="40" customFormat="false" ht="109.5" hidden="false" customHeight="true" outlineLevel="0" collapsed="false">
      <c r="A40" s="7" t="n">
        <v>39</v>
      </c>
      <c r="B40" s="7" t="s">
        <v>48</v>
      </c>
      <c r="C40" s="7" t="n">
        <v>2023</v>
      </c>
      <c r="D40" s="7" t="n">
        <v>69</v>
      </c>
      <c r="E40" s="7" t="n">
        <v>20.98</v>
      </c>
      <c r="F40" s="7" t="s">
        <v>901</v>
      </c>
      <c r="G40" s="7" t="s">
        <v>902</v>
      </c>
      <c r="H40" s="7" t="s">
        <v>903</v>
      </c>
      <c r="I40" s="7" t="s">
        <v>904</v>
      </c>
      <c r="J40" s="7" t="s">
        <v>59</v>
      </c>
      <c r="K40" s="8" t="s">
        <v>905</v>
      </c>
      <c r="L40" s="7" t="s">
        <v>906</v>
      </c>
      <c r="M40" s="9"/>
      <c r="N40" s="9"/>
      <c r="O40" s="9"/>
    </row>
    <row r="41" customFormat="false" ht="109.5" hidden="false" customHeight="true" outlineLevel="0" collapsed="false">
      <c r="A41" s="7" t="n">
        <v>40</v>
      </c>
      <c r="B41" s="7" t="s">
        <v>48</v>
      </c>
      <c r="C41" s="7" t="n">
        <v>2019</v>
      </c>
      <c r="D41" s="7" t="n">
        <v>152</v>
      </c>
      <c r="E41" s="7" t="n">
        <v>20.85</v>
      </c>
      <c r="F41" s="7" t="s">
        <v>907</v>
      </c>
      <c r="G41" s="7" t="s">
        <v>908</v>
      </c>
      <c r="H41" s="7" t="s">
        <v>909</v>
      </c>
      <c r="I41" s="7" t="s">
        <v>121</v>
      </c>
      <c r="J41" s="7" t="s">
        <v>59</v>
      </c>
      <c r="K41" s="8" t="s">
        <v>910</v>
      </c>
      <c r="L41" s="7" t="s">
        <v>911</v>
      </c>
      <c r="M41" s="9"/>
      <c r="N41" s="9"/>
      <c r="O41" s="9"/>
    </row>
    <row r="42" customFormat="false" ht="109.5" hidden="false" customHeight="true" outlineLevel="0" collapsed="false">
      <c r="A42" s="7" t="n">
        <v>41</v>
      </c>
      <c r="B42" s="7" t="s">
        <v>48</v>
      </c>
      <c r="C42" s="7" t="n">
        <v>2023</v>
      </c>
      <c r="D42" s="7" t="n">
        <v>67</v>
      </c>
      <c r="E42" s="7" t="n">
        <v>20.37</v>
      </c>
      <c r="F42" s="7" t="s">
        <v>912</v>
      </c>
      <c r="G42" s="7" t="s">
        <v>913</v>
      </c>
      <c r="H42" s="7" t="s">
        <v>914</v>
      </c>
      <c r="I42" s="7" t="s">
        <v>915</v>
      </c>
      <c r="J42" s="7" t="s">
        <v>59</v>
      </c>
      <c r="K42" s="8" t="s">
        <v>916</v>
      </c>
      <c r="L42" s="7" t="s">
        <v>917</v>
      </c>
      <c r="M42" s="9"/>
      <c r="N42" s="9"/>
      <c r="O42" s="9"/>
    </row>
    <row r="43" customFormat="false" ht="109.5" hidden="false" customHeight="true" outlineLevel="0" collapsed="false">
      <c r="A43" s="7" t="n">
        <v>42</v>
      </c>
      <c r="B43" s="7" t="s">
        <v>48</v>
      </c>
      <c r="C43" s="7" t="n">
        <v>2022</v>
      </c>
      <c r="D43" s="7" t="n">
        <v>86</v>
      </c>
      <c r="E43" s="7" t="n">
        <v>20.05</v>
      </c>
      <c r="F43" s="7" t="s">
        <v>918</v>
      </c>
      <c r="G43" s="7" t="s">
        <v>919</v>
      </c>
      <c r="H43" s="7" t="s">
        <v>920</v>
      </c>
      <c r="I43" s="7" t="s">
        <v>743</v>
      </c>
      <c r="J43" s="7" t="s">
        <v>59</v>
      </c>
      <c r="K43" s="8" t="s">
        <v>921</v>
      </c>
      <c r="L43" s="7" t="s">
        <v>922</v>
      </c>
      <c r="M43" s="9"/>
      <c r="N43" s="9"/>
      <c r="O43" s="9"/>
    </row>
    <row r="44" customFormat="false" ht="109.5" hidden="false" customHeight="true" outlineLevel="0" collapsed="false">
      <c r="A44" s="7" t="n">
        <v>43</v>
      </c>
      <c r="B44" s="7" t="s">
        <v>48</v>
      </c>
      <c r="C44" s="7" t="n">
        <v>2022</v>
      </c>
      <c r="D44" s="7" t="n">
        <v>85</v>
      </c>
      <c r="E44" s="7" t="n">
        <v>19.82</v>
      </c>
      <c r="F44" s="7" t="s">
        <v>923</v>
      </c>
      <c r="G44" s="7" t="s">
        <v>924</v>
      </c>
      <c r="H44" s="7" t="s">
        <v>925</v>
      </c>
      <c r="I44" s="7" t="s">
        <v>743</v>
      </c>
      <c r="J44" s="7" t="s">
        <v>59</v>
      </c>
      <c r="K44" s="8" t="s">
        <v>926</v>
      </c>
      <c r="L44" s="7" t="s">
        <v>927</v>
      </c>
      <c r="M44" s="9"/>
      <c r="N44" s="9"/>
      <c r="O44" s="9"/>
    </row>
    <row r="45" customFormat="false" ht="109.5" hidden="false" customHeight="true" outlineLevel="0" collapsed="false">
      <c r="A45" s="7" t="n">
        <v>44</v>
      </c>
      <c r="B45" s="7" t="s">
        <v>48</v>
      </c>
      <c r="C45" s="7" t="n">
        <v>2021</v>
      </c>
      <c r="D45" s="7" t="n">
        <v>104</v>
      </c>
      <c r="E45" s="7" t="n">
        <v>19.66</v>
      </c>
      <c r="F45" s="7" t="s">
        <v>928</v>
      </c>
      <c r="G45" s="7" t="s">
        <v>929</v>
      </c>
      <c r="H45" s="7" t="s">
        <v>930</v>
      </c>
      <c r="I45" s="7" t="s">
        <v>931</v>
      </c>
      <c r="J45" s="7" t="s">
        <v>59</v>
      </c>
      <c r="K45" s="8" t="s">
        <v>932</v>
      </c>
      <c r="L45" s="7" t="s">
        <v>933</v>
      </c>
      <c r="M45" s="9"/>
      <c r="N45" s="9"/>
      <c r="O45" s="9"/>
    </row>
    <row r="46" customFormat="false" ht="109.5" hidden="false" customHeight="true" outlineLevel="0" collapsed="false">
      <c r="A46" s="7" t="n">
        <v>45</v>
      </c>
      <c r="B46" s="7" t="s">
        <v>48</v>
      </c>
      <c r="C46" s="7" t="n">
        <v>2022</v>
      </c>
      <c r="D46" s="7" t="n">
        <v>84</v>
      </c>
      <c r="E46" s="7" t="n">
        <v>19.58</v>
      </c>
      <c r="F46" s="7" t="s">
        <v>934</v>
      </c>
      <c r="G46" s="7" t="s">
        <v>935</v>
      </c>
      <c r="H46" s="7" t="s">
        <v>936</v>
      </c>
      <c r="I46" s="7" t="s">
        <v>937</v>
      </c>
      <c r="J46" s="7" t="s">
        <v>59</v>
      </c>
      <c r="K46" s="8" t="s">
        <v>938</v>
      </c>
      <c r="L46" s="7" t="s">
        <v>939</v>
      </c>
      <c r="M46" s="9"/>
      <c r="N46" s="9"/>
      <c r="O46" s="9"/>
    </row>
    <row r="47" customFormat="false" ht="109.5" hidden="false" customHeight="true" outlineLevel="0" collapsed="false">
      <c r="A47" s="7" t="n">
        <v>1</v>
      </c>
      <c r="B47" s="7" t="s">
        <v>298</v>
      </c>
      <c r="C47" s="7" t="n">
        <v>2026</v>
      </c>
      <c r="D47" s="7" t="n">
        <v>28</v>
      </c>
      <c r="E47" s="7" t="n">
        <v>56</v>
      </c>
      <c r="F47" s="7" t="s">
        <v>940</v>
      </c>
      <c r="G47" s="7" t="s">
        <v>941</v>
      </c>
      <c r="H47" s="7" t="s">
        <v>942</v>
      </c>
      <c r="I47" s="7" t="s">
        <v>842</v>
      </c>
      <c r="J47" s="7" t="s">
        <v>59</v>
      </c>
      <c r="K47" s="8" t="s">
        <v>943</v>
      </c>
      <c r="L47" s="7" t="s">
        <v>944</v>
      </c>
      <c r="M47" s="9"/>
      <c r="N47" s="9"/>
      <c r="O47" s="9"/>
    </row>
    <row r="48" customFormat="false" ht="109.5" hidden="false" customHeight="true" outlineLevel="0" collapsed="false">
      <c r="A48" s="7" t="n">
        <v>2</v>
      </c>
      <c r="B48" s="7" t="s">
        <v>298</v>
      </c>
      <c r="C48" s="7" t="n">
        <v>2024</v>
      </c>
      <c r="D48" s="7" t="n">
        <v>127</v>
      </c>
      <c r="E48" s="7" t="n">
        <v>55.48</v>
      </c>
      <c r="F48" s="7" t="s">
        <v>945</v>
      </c>
      <c r="G48" s="7" t="s">
        <v>946</v>
      </c>
      <c r="H48" s="7" t="s">
        <v>947</v>
      </c>
      <c r="I48" s="7" t="s">
        <v>76</v>
      </c>
      <c r="J48" s="7" t="s">
        <v>59</v>
      </c>
      <c r="K48" s="8" t="s">
        <v>948</v>
      </c>
      <c r="L48" s="7" t="s">
        <v>949</v>
      </c>
      <c r="M48" s="9"/>
      <c r="N48" s="9"/>
      <c r="O48" s="9"/>
    </row>
    <row r="49" customFormat="false" ht="109.5" hidden="false" customHeight="true" outlineLevel="0" collapsed="false">
      <c r="A49" s="7" t="n">
        <v>3</v>
      </c>
      <c r="B49" s="7" t="s">
        <v>298</v>
      </c>
      <c r="C49" s="7" t="n">
        <v>2024</v>
      </c>
      <c r="D49" s="7" t="n">
        <v>123</v>
      </c>
      <c r="E49" s="7" t="n">
        <v>53.73</v>
      </c>
      <c r="F49" s="7" t="s">
        <v>950</v>
      </c>
      <c r="G49" s="7" t="s">
        <v>951</v>
      </c>
      <c r="H49" s="7" t="s">
        <v>952</v>
      </c>
      <c r="I49" s="7" t="s">
        <v>953</v>
      </c>
      <c r="J49" s="7" t="s">
        <v>59</v>
      </c>
      <c r="K49" s="8" t="s">
        <v>954</v>
      </c>
      <c r="L49" s="7" t="s">
        <v>955</v>
      </c>
      <c r="M49" s="9"/>
      <c r="N49" s="9"/>
      <c r="O49" s="9"/>
    </row>
    <row r="50" customFormat="false" ht="109.5" hidden="false" customHeight="true" outlineLevel="0" collapsed="false">
      <c r="A50" s="7" t="n">
        <v>4</v>
      </c>
      <c r="B50" s="7" t="s">
        <v>298</v>
      </c>
      <c r="C50" s="7" t="n">
        <v>2024</v>
      </c>
      <c r="D50" s="7" t="n">
        <v>119</v>
      </c>
      <c r="E50" s="7" t="n">
        <v>51.99</v>
      </c>
      <c r="F50" s="7" t="s">
        <v>956</v>
      </c>
      <c r="G50" s="7" t="s">
        <v>957</v>
      </c>
      <c r="H50" s="7" t="s">
        <v>958</v>
      </c>
      <c r="I50" s="7" t="s">
        <v>320</v>
      </c>
      <c r="J50" s="7" t="s">
        <v>59</v>
      </c>
      <c r="K50" s="8" t="s">
        <v>959</v>
      </c>
      <c r="L50" s="7" t="s">
        <v>960</v>
      </c>
      <c r="M50" s="9"/>
      <c r="N50" s="9"/>
      <c r="O50" s="9"/>
    </row>
    <row r="51" customFormat="false" ht="109.5" hidden="false" customHeight="true" outlineLevel="0" collapsed="false">
      <c r="A51" s="7" t="n">
        <v>5</v>
      </c>
      <c r="B51" s="7" t="s">
        <v>298</v>
      </c>
      <c r="C51" s="7" t="n">
        <v>2025</v>
      </c>
      <c r="D51" s="7" t="n">
        <v>64</v>
      </c>
      <c r="E51" s="7" t="n">
        <v>49.65</v>
      </c>
      <c r="F51" s="7" t="s">
        <v>961</v>
      </c>
      <c r="G51" s="7" t="s">
        <v>962</v>
      </c>
      <c r="H51" s="7" t="s">
        <v>963</v>
      </c>
      <c r="I51" s="7" t="s">
        <v>964</v>
      </c>
      <c r="J51" s="7" t="s">
        <v>59</v>
      </c>
      <c r="K51" s="8" t="s">
        <v>965</v>
      </c>
      <c r="L51" s="7" t="s">
        <v>966</v>
      </c>
      <c r="M51" s="9"/>
      <c r="N51" s="9"/>
      <c r="O51" s="9"/>
    </row>
    <row r="52" customFormat="false" ht="109.5" hidden="false" customHeight="true" outlineLevel="0" collapsed="false">
      <c r="A52" s="7" t="n">
        <v>6</v>
      </c>
      <c r="B52" s="7" t="s">
        <v>298</v>
      </c>
      <c r="C52" s="7" t="n">
        <v>2025</v>
      </c>
      <c r="D52" s="7" t="n">
        <v>63</v>
      </c>
      <c r="E52" s="7" t="n">
        <v>48.87</v>
      </c>
      <c r="F52" s="7" t="s">
        <v>967</v>
      </c>
      <c r="G52" s="7" t="s">
        <v>968</v>
      </c>
      <c r="H52" s="7" t="s">
        <v>969</v>
      </c>
      <c r="I52" s="7" t="s">
        <v>743</v>
      </c>
      <c r="J52" s="7" t="s">
        <v>59</v>
      </c>
      <c r="K52" s="8" t="s">
        <v>970</v>
      </c>
      <c r="L52" s="7" t="s">
        <v>971</v>
      </c>
      <c r="M52" s="9"/>
      <c r="N52" s="9"/>
      <c r="O52" s="9"/>
    </row>
    <row r="53" customFormat="false" ht="109.5" hidden="false" customHeight="true" outlineLevel="0" collapsed="false">
      <c r="A53" s="7" t="n">
        <v>7</v>
      </c>
      <c r="B53" s="7" t="s">
        <v>298</v>
      </c>
      <c r="C53" s="7" t="n">
        <v>2024</v>
      </c>
      <c r="D53" s="7" t="n">
        <v>109</v>
      </c>
      <c r="E53" s="7" t="n">
        <v>47.62</v>
      </c>
      <c r="F53" s="7" t="s">
        <v>972</v>
      </c>
      <c r="G53" s="7" t="s">
        <v>973</v>
      </c>
      <c r="H53" s="7" t="s">
        <v>974</v>
      </c>
      <c r="I53" s="7" t="s">
        <v>144</v>
      </c>
      <c r="J53" s="7" t="s">
        <v>59</v>
      </c>
      <c r="K53" s="8" t="s">
        <v>975</v>
      </c>
      <c r="L53" s="7" t="s">
        <v>976</v>
      </c>
      <c r="M53" s="9"/>
      <c r="N53" s="9"/>
      <c r="O53" s="9"/>
    </row>
    <row r="54" customFormat="false" ht="109.5" hidden="false" customHeight="true" outlineLevel="0" collapsed="false">
      <c r="A54" s="7" t="n">
        <v>8</v>
      </c>
      <c r="B54" s="7" t="s">
        <v>298</v>
      </c>
      <c r="C54" s="7" t="n">
        <v>2024</v>
      </c>
      <c r="D54" s="7" t="n">
        <v>109</v>
      </c>
      <c r="E54" s="7" t="n">
        <v>47.62</v>
      </c>
      <c r="F54" s="7" t="s">
        <v>977</v>
      </c>
      <c r="G54" s="7" t="s">
        <v>978</v>
      </c>
      <c r="H54" s="7" t="s">
        <v>979</v>
      </c>
      <c r="I54" s="7" t="s">
        <v>743</v>
      </c>
      <c r="J54" s="7" t="s">
        <v>59</v>
      </c>
      <c r="K54" s="8" t="s">
        <v>980</v>
      </c>
      <c r="L54" s="7" t="s">
        <v>981</v>
      </c>
      <c r="M54" s="9"/>
      <c r="N54" s="9"/>
      <c r="O54" s="9"/>
    </row>
    <row r="55" customFormat="false" ht="109.5" hidden="false" customHeight="true" outlineLevel="0" collapsed="false">
      <c r="A55" s="7" t="n">
        <v>9</v>
      </c>
      <c r="B55" s="7" t="s">
        <v>298</v>
      </c>
      <c r="C55" s="7" t="n">
        <v>2026</v>
      </c>
      <c r="D55" s="7" t="n">
        <v>22</v>
      </c>
      <c r="E55" s="7" t="n">
        <v>44</v>
      </c>
      <c r="F55" s="7" t="s">
        <v>982</v>
      </c>
      <c r="G55" s="7" t="s">
        <v>983</v>
      </c>
      <c r="H55" s="7" t="s">
        <v>984</v>
      </c>
      <c r="I55" s="7" t="s">
        <v>743</v>
      </c>
      <c r="J55" s="7" t="s">
        <v>59</v>
      </c>
      <c r="K55" s="8" t="s">
        <v>985</v>
      </c>
      <c r="L55" s="7" t="s">
        <v>986</v>
      </c>
      <c r="M55" s="9"/>
      <c r="N55" s="9"/>
      <c r="O55" s="9"/>
    </row>
    <row r="56" customFormat="false" ht="109.5" hidden="false" customHeight="true" outlineLevel="0" collapsed="false">
      <c r="A56" s="7" t="n">
        <v>10</v>
      </c>
      <c r="B56" s="7" t="s">
        <v>298</v>
      </c>
      <c r="C56" s="7" t="n">
        <v>2026</v>
      </c>
      <c r="D56" s="7" t="n">
        <v>20</v>
      </c>
      <c r="E56" s="7" t="n">
        <v>40</v>
      </c>
      <c r="F56" s="7" t="s">
        <v>987</v>
      </c>
      <c r="G56" s="7" t="s">
        <v>988</v>
      </c>
      <c r="H56" s="7" t="s">
        <v>989</v>
      </c>
      <c r="I56" s="7" t="s">
        <v>990</v>
      </c>
      <c r="J56" s="7" t="s">
        <v>59</v>
      </c>
      <c r="K56" s="8" t="s">
        <v>991</v>
      </c>
      <c r="L56" s="7" t="s">
        <v>992</v>
      </c>
      <c r="M56" s="9"/>
      <c r="N56" s="9"/>
      <c r="O56" s="9"/>
    </row>
    <row r="57" customFormat="false" ht="109.5" hidden="false" customHeight="true" outlineLevel="0" collapsed="false">
      <c r="A57" s="7" t="n">
        <v>11</v>
      </c>
      <c r="B57" s="7" t="s">
        <v>298</v>
      </c>
      <c r="C57" s="7" t="n">
        <v>2024</v>
      </c>
      <c r="D57" s="7" t="n">
        <v>89</v>
      </c>
      <c r="E57" s="7" t="n">
        <v>38.88</v>
      </c>
      <c r="F57" s="7" t="s">
        <v>993</v>
      </c>
      <c r="G57" s="7" t="s">
        <v>994</v>
      </c>
      <c r="H57" s="7" t="s">
        <v>995</v>
      </c>
      <c r="I57" s="7" t="s">
        <v>190</v>
      </c>
      <c r="J57" s="7" t="s">
        <v>59</v>
      </c>
      <c r="K57" s="8" t="s">
        <v>996</v>
      </c>
      <c r="L57" s="7" t="s">
        <v>997</v>
      </c>
      <c r="M57" s="9"/>
      <c r="N57" s="9"/>
      <c r="O57" s="9"/>
    </row>
    <row r="58" customFormat="false" ht="109.5" hidden="false" customHeight="true" outlineLevel="0" collapsed="false">
      <c r="A58" s="7" t="n">
        <v>12</v>
      </c>
      <c r="B58" s="7" t="s">
        <v>298</v>
      </c>
      <c r="C58" s="7" t="n">
        <v>2024</v>
      </c>
      <c r="D58" s="7" t="n">
        <v>88</v>
      </c>
      <c r="E58" s="7" t="n">
        <v>38.44</v>
      </c>
      <c r="F58" s="7" t="s">
        <v>998</v>
      </c>
      <c r="G58" s="7" t="s">
        <v>999</v>
      </c>
      <c r="H58" s="7" t="s">
        <v>1000</v>
      </c>
      <c r="I58" s="7" t="s">
        <v>698</v>
      </c>
      <c r="J58" s="7" t="s">
        <v>59</v>
      </c>
      <c r="K58" s="8" t="s">
        <v>1001</v>
      </c>
      <c r="L58" s="7" t="s">
        <v>1002</v>
      </c>
      <c r="M58" s="9"/>
      <c r="N58" s="9"/>
      <c r="O58" s="9"/>
    </row>
    <row r="59" customFormat="false" ht="109.5" hidden="false" customHeight="true" outlineLevel="0" collapsed="false">
      <c r="A59" s="7" t="n">
        <v>13</v>
      </c>
      <c r="B59" s="7" t="s">
        <v>298</v>
      </c>
      <c r="C59" s="7" t="n">
        <v>2025</v>
      </c>
      <c r="D59" s="7" t="n">
        <v>48</v>
      </c>
      <c r="E59" s="7" t="n">
        <v>37.24</v>
      </c>
      <c r="F59" s="7" t="s">
        <v>1003</v>
      </c>
      <c r="G59" s="7" t="s">
        <v>1004</v>
      </c>
      <c r="H59" s="7" t="s">
        <v>1005</v>
      </c>
      <c r="I59" s="7" t="s">
        <v>1006</v>
      </c>
      <c r="J59" s="7" t="s">
        <v>59</v>
      </c>
      <c r="K59" s="8" t="s">
        <v>1007</v>
      </c>
      <c r="L59" s="7" t="s">
        <v>1008</v>
      </c>
      <c r="M59" s="9"/>
      <c r="N59" s="9"/>
      <c r="O59" s="9"/>
    </row>
    <row r="60" customFormat="false" ht="109.5" hidden="false" customHeight="true" outlineLevel="0" collapsed="false">
      <c r="A60" s="7" t="n">
        <v>14</v>
      </c>
      <c r="B60" s="7" t="s">
        <v>298</v>
      </c>
      <c r="C60" s="7" t="n">
        <v>2025</v>
      </c>
      <c r="D60" s="7" t="n">
        <v>46</v>
      </c>
      <c r="E60" s="7" t="n">
        <v>35.69</v>
      </c>
      <c r="F60" s="7" t="s">
        <v>1009</v>
      </c>
      <c r="G60" s="7" t="s">
        <v>1010</v>
      </c>
      <c r="H60" s="7" t="s">
        <v>1011</v>
      </c>
      <c r="I60" s="7" t="s">
        <v>743</v>
      </c>
      <c r="J60" s="7" t="s">
        <v>59</v>
      </c>
      <c r="K60" s="8" t="s">
        <v>1012</v>
      </c>
      <c r="L60" s="7" t="s">
        <v>1013</v>
      </c>
      <c r="M60" s="9"/>
      <c r="N60" s="9"/>
      <c r="O60" s="9"/>
    </row>
    <row r="61" customFormat="false" ht="109.5" hidden="false" customHeight="true" outlineLevel="0" collapsed="false">
      <c r="A61" s="7" t="n">
        <v>15</v>
      </c>
      <c r="B61" s="7" t="s">
        <v>298</v>
      </c>
      <c r="C61" s="7" t="n">
        <v>2026</v>
      </c>
      <c r="D61" s="7" t="n">
        <v>17</v>
      </c>
      <c r="E61" s="7" t="n">
        <v>34</v>
      </c>
      <c r="F61" s="7" t="s">
        <v>1014</v>
      </c>
      <c r="G61" s="7" t="s">
        <v>1015</v>
      </c>
      <c r="H61" s="7" t="s">
        <v>1016</v>
      </c>
      <c r="I61" s="7" t="s">
        <v>743</v>
      </c>
      <c r="J61" s="7" t="s">
        <v>59</v>
      </c>
      <c r="K61" s="8" t="s">
        <v>1017</v>
      </c>
      <c r="L61" s="7" t="s">
        <v>1018</v>
      </c>
      <c r="M61" s="9"/>
      <c r="N61" s="9"/>
      <c r="O61" s="9"/>
    </row>
  </sheetData>
  <autoFilter ref="A1:O61"/>
  <conditionalFormatting sqref="A2:O61">
    <cfRule type="expression" priority="2" aboveAverage="0" equalAverage="0" bottom="0" percent="0" rank="0" text="" dxfId="3">
      <formula>$M2="Include"</formula>
    </cfRule>
    <cfRule type="expression" priority="3" aboveAverage="0" equalAverage="0" bottom="0" percent="0" rank="0" text="" dxfId="4">
      <formula>$M2="Exclude"</formula>
    </cfRule>
  </conditionalFormatting>
  <dataValidations count="2">
    <dataValidation allowBlank="true" errorStyle="stop" operator="between" showDropDown="false" showErrorMessage="false" showInputMessage="false" sqref="M2:M61" type="list">
      <formula1>"Include,Exclude,Unsure"</formula1>
      <formula2>0</formula2>
    </dataValidation>
    <dataValidation allowBlank="true" errorStyle="stop" operator="between" showDropDown="false" showErrorMessage="false" showInputMessage="false" sqref="N2:N61" type="list">
      <formula1>"E1,E2,E3,E4"</formula1>
      <formula2>0</formula2>
    </dataValidation>
  </dataValidations>
  <hyperlinks>
    <hyperlink ref="K2" r:id="rId1" display="10.1016/j.tre.2023.103152"/>
    <hyperlink ref="K3" r:id="rId2" display="10.1109/WACVW58289.2023.00029"/>
    <hyperlink ref="K4" r:id="rId3" display="10.1016/j.apor.2021.102759"/>
    <hyperlink ref="K5" r:id="rId4" display="10.1016/j.ress.2020.107324"/>
    <hyperlink ref="K6" r:id="rId5" display="10.1016/j.isatra.2023.01.007"/>
    <hyperlink ref="K7" r:id="rId6" display="10.1017/S0373463318000796"/>
    <hyperlink ref="K8" r:id="rId7" display="10.1109/TII.2020.2974047"/>
    <hyperlink ref="K9" r:id="rId8" display="10.1016/j.oceaneng.2020.107001"/>
    <hyperlink ref="K10" r:id="rId9" display="10.1109/MITS.2022.3229109"/>
    <hyperlink ref="K11" r:id="rId10" display="10.1016/j.cie.2021.107612"/>
    <hyperlink ref="K12" r:id="rId11" display="10.1016/j.oceaneng.2023.116159"/>
    <hyperlink ref="K13" r:id="rId12" display="10.1016/j.oceaneng.2021.109216"/>
    <hyperlink ref="K14" r:id="rId13" display="10.3389/fmars.2019.00084"/>
    <hyperlink ref="K15" r:id="rId14" display="10.1016/j.isatra.2022.09.007"/>
    <hyperlink ref="K16" r:id="rId15" display="10.1109/TITS.2016.2551780"/>
    <hyperlink ref="K17" r:id="rId16" display="10.1016/j.oceaneng.2023.114005"/>
    <hyperlink ref="K18" r:id="rId17" display="10.1016/j.tre.2023.103171"/>
    <hyperlink ref="K19" r:id="rId18" display="10.1016/j.oceaneng.2019.106436"/>
    <hyperlink ref="K20" r:id="rId19" display="10.1016/j.ssci.2020.104812"/>
    <hyperlink ref="K21" r:id="rId20" display="10.1016/j.oceaneng.2023.115440"/>
    <hyperlink ref="K22" r:id="rId21" display="10.1016/j.oceaneng.2018.12.053"/>
    <hyperlink ref="K23" r:id="rId22" display="10.1016/j.oceaneng.2023.114205"/>
    <hyperlink ref="K24" r:id="rId23" display="10.1016/j.oceaneng.2023.115208"/>
    <hyperlink ref="K25" r:id="rId24" display="10.1109/ACCESS.2021.3053956"/>
    <hyperlink ref="K26" r:id="rId25" display="10.1016/j.oceaneng.2020.107910"/>
    <hyperlink ref="K27" r:id="rId26" display="10.1109/LRA.2021.3067271"/>
    <hyperlink ref="K28" r:id="rId27" display="10.1016/j.neucom.2021.09.071"/>
    <hyperlink ref="K29" r:id="rId28" display="10.1109/TGRS.2018.2848901"/>
    <hyperlink ref="K30" r:id="rId29" display="10.1016/j.ress.2023.109103"/>
    <hyperlink ref="K31" r:id="rId30" display="10.3389/fmars.2022.1084763"/>
    <hyperlink ref="K32" r:id="rId31" display="10.1016/j.oceaneng.2023.113737"/>
    <hyperlink ref="K33" r:id="rId32" display="10.1109/ACCESS.2021.3049238"/>
    <hyperlink ref="K34" r:id="rId33" display="10.1016/j.ssci.2020.104939"/>
    <hyperlink ref="K35" r:id="rId34" display="10.1002/rob.21935"/>
    <hyperlink ref="K36" r:id="rId35" display="10.1016/j.ress.2023.109554"/>
    <hyperlink ref="K37" r:id="rId36" display="10.1016/j.oceaneng.2020.107704"/>
    <hyperlink ref="K38" r:id="rId37" display="10.1016/j.oceaneng.2018.04.018"/>
    <hyperlink ref="K39" r:id="rId38" display="10.3390/rs14133049"/>
    <hyperlink ref="K40" r:id="rId39" display="10.1145/3571733"/>
    <hyperlink ref="K41" r:id="rId40" display="10.1109/ACCESS.2019.2953326"/>
    <hyperlink ref="K42" r:id="rId41" display="10.3390/jmse11112065"/>
    <hyperlink ref="K43" r:id="rId42" display="10.1016/j.oceaneng.2022.110749"/>
    <hyperlink ref="K44" r:id="rId43" display="10.1016/j.oceaneng.2022.110531"/>
    <hyperlink ref="K45" r:id="rId44" display="10.3233/ica-210649"/>
    <hyperlink ref="K46" r:id="rId45" display="10.1007/s13437-022-00277-z"/>
    <hyperlink ref="K47" r:id="rId46" display="10.1016/j.neucom.2025.132597"/>
    <hyperlink ref="K48" r:id="rId47" display="10.1109/TITS.2024.3415772"/>
    <hyperlink ref="K49" r:id="rId48" display="10.1016/j.engappai.2023.107513"/>
    <hyperlink ref="K50" r:id="rId49" display="10.1109/TIV.2023.3317336"/>
    <hyperlink ref="K51" r:id="rId50" display="10.1016/j.aei.2025.103355"/>
    <hyperlink ref="K52" r:id="rId51" display="10.1016/j.oceaneng.2025.120907"/>
    <hyperlink ref="K53" r:id="rId52" display="10.1109/TVT.2023.3338518"/>
    <hyperlink ref="K54" r:id="rId53" display="10.1016/j.oceaneng.2024.117210"/>
    <hyperlink ref="K55" r:id="rId54" display="10.1016/j.oceaneng.2026.124487"/>
    <hyperlink ref="K56" r:id="rId55" display="10.21278/brod77204"/>
    <hyperlink ref="K57" r:id="rId56" display="10.1016/j.eswa.2024.124388"/>
    <hyperlink ref="K58" r:id="rId57" display="10.1016/j.tre.2023.103367"/>
    <hyperlink ref="K59" r:id="rId58" display="10.1109/TCYB.2025.3556042"/>
    <hyperlink ref="K60" r:id="rId59" display="10.1016/j.oceaneng.2024.120128"/>
    <hyperlink ref="K61" r:id="rId60" display="10.1016/j.oceaneng.2025.1241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6"/>
    <col collapsed="false" customWidth="true" hidden="false" outlineLevel="0" max="5" min="4" style="0" width="8"/>
    <col collapsed="false" customWidth="true" hidden="false" outlineLevel="0" max="6" min="6" style="0" width="45"/>
    <col collapsed="false" customWidth="true" hidden="false" outlineLevel="0" max="7" min="7" style="0" width="90"/>
    <col collapsed="false" customWidth="true" hidden="false" outlineLevel="0" max="8" min="8" style="0" width="30"/>
    <col collapsed="false" customWidth="true" hidden="false" outlineLevel="0" max="9" min="9" style="0" width="25"/>
    <col collapsed="false" customWidth="true" hidden="false" outlineLevel="0" max="10" min="10" style="0" width="12"/>
    <col collapsed="false" customWidth="true" hidden="false" outlineLevel="0" max="11" min="11" style="0" width="22"/>
    <col collapsed="false" customWidth="true" hidden="false" outlineLevel="0" max="12" min="12" style="0" width="20"/>
    <col collapsed="false" customWidth="true" hidden="false" outlineLevel="0" max="13" min="13" style="0" width="11"/>
    <col collapsed="false" customWidth="true" hidden="false" outlineLevel="0" max="14" min="14" style="0" width="9"/>
    <col collapsed="false" customWidth="true" hidden="false" outlineLevel="0" max="15" min="15" style="0" width="30"/>
  </cols>
  <sheetData>
    <row r="1" customFormat="false" ht="23.85" hidden="false" customHeight="false" outlineLevel="0" collapsed="false">
      <c r="A1" s="6" t="s">
        <v>33</v>
      </c>
      <c r="B1" s="6" t="s">
        <v>34</v>
      </c>
      <c r="C1" s="6" t="s">
        <v>35</v>
      </c>
      <c r="D1" s="6" t="s">
        <v>36</v>
      </c>
      <c r="E1" s="6" t="s">
        <v>37</v>
      </c>
      <c r="F1" s="6" t="s">
        <v>38</v>
      </c>
      <c r="G1" s="6" t="s">
        <v>39</v>
      </c>
      <c r="H1" s="6" t="s">
        <v>40</v>
      </c>
      <c r="I1" s="6" t="s">
        <v>41</v>
      </c>
      <c r="J1" s="6" t="s">
        <v>42</v>
      </c>
      <c r="K1" s="6" t="s">
        <v>43</v>
      </c>
      <c r="L1" s="6" t="s">
        <v>44</v>
      </c>
      <c r="M1" s="6" t="s">
        <v>45</v>
      </c>
      <c r="N1" s="6" t="s">
        <v>46</v>
      </c>
      <c r="O1" s="6" t="s">
        <v>47</v>
      </c>
    </row>
    <row r="2" customFormat="false" ht="109.5" hidden="false" customHeight="true" outlineLevel="0" collapsed="false">
      <c r="A2" s="7" t="n">
        <v>1</v>
      </c>
      <c r="B2" s="7" t="s">
        <v>1019</v>
      </c>
      <c r="C2" s="7" t="n">
        <v>2020</v>
      </c>
      <c r="D2" s="7" t="n">
        <v>726</v>
      </c>
      <c r="E2" s="7" t="n">
        <v>115.44</v>
      </c>
      <c r="F2" s="7" t="s">
        <v>1020</v>
      </c>
      <c r="G2" s="7" t="s">
        <v>1021</v>
      </c>
      <c r="H2" s="7" t="s">
        <v>1022</v>
      </c>
      <c r="I2" s="7" t="s">
        <v>138</v>
      </c>
      <c r="J2" s="7" t="s">
        <v>1023</v>
      </c>
      <c r="K2" s="8" t="s">
        <v>1024</v>
      </c>
      <c r="L2" s="7" t="s">
        <v>1025</v>
      </c>
      <c r="M2" s="9"/>
      <c r="N2" s="9"/>
      <c r="O2" s="9"/>
    </row>
    <row r="3" customFormat="false" ht="109.5" hidden="false" customHeight="true" outlineLevel="0" collapsed="false">
      <c r="A3" s="7" t="n">
        <v>2</v>
      </c>
      <c r="B3" s="7" t="s">
        <v>1019</v>
      </c>
      <c r="C3" s="7" t="n">
        <v>2022</v>
      </c>
      <c r="D3" s="7" t="n">
        <v>226</v>
      </c>
      <c r="E3" s="7" t="n">
        <v>52.69</v>
      </c>
      <c r="F3" s="7" t="s">
        <v>1026</v>
      </c>
      <c r="G3" s="7" t="s">
        <v>1027</v>
      </c>
      <c r="H3" s="7" t="s">
        <v>1028</v>
      </c>
      <c r="I3" s="7" t="s">
        <v>260</v>
      </c>
      <c r="J3" s="7" t="s">
        <v>1023</v>
      </c>
      <c r="K3" s="8" t="s">
        <v>1029</v>
      </c>
      <c r="L3" s="7" t="s">
        <v>1030</v>
      </c>
      <c r="M3" s="9"/>
      <c r="N3" s="9"/>
      <c r="O3" s="9"/>
    </row>
    <row r="4" customFormat="false" ht="109.5" hidden="false" customHeight="true" outlineLevel="0" collapsed="false">
      <c r="A4" s="7" t="n">
        <v>3</v>
      </c>
      <c r="B4" s="7" t="s">
        <v>1019</v>
      </c>
      <c r="C4" s="7" t="n">
        <v>2023</v>
      </c>
      <c r="D4" s="7" t="n">
        <v>131</v>
      </c>
      <c r="E4" s="7" t="n">
        <v>39.83</v>
      </c>
      <c r="F4" s="7" t="s">
        <v>1031</v>
      </c>
      <c r="G4" s="7" t="s">
        <v>1032</v>
      </c>
      <c r="H4" s="7" t="s">
        <v>1033</v>
      </c>
      <c r="I4" s="7" t="s">
        <v>1034</v>
      </c>
      <c r="J4" s="7" t="s">
        <v>1023</v>
      </c>
      <c r="K4" s="8" t="s">
        <v>1035</v>
      </c>
      <c r="L4" s="7" t="s">
        <v>1036</v>
      </c>
      <c r="M4" s="9"/>
      <c r="N4" s="9"/>
      <c r="O4" s="9"/>
    </row>
    <row r="5" customFormat="false" ht="109.5" hidden="false" customHeight="true" outlineLevel="0" collapsed="false">
      <c r="A5" s="7" t="n">
        <v>4</v>
      </c>
      <c r="B5" s="7" t="s">
        <v>1019</v>
      </c>
      <c r="C5" s="7" t="n">
        <v>2021</v>
      </c>
      <c r="D5" s="7" t="n">
        <v>178</v>
      </c>
      <c r="E5" s="7" t="n">
        <v>33.65</v>
      </c>
      <c r="F5" s="7" t="s">
        <v>1037</v>
      </c>
      <c r="G5" s="7" t="s">
        <v>1038</v>
      </c>
      <c r="H5" s="7" t="s">
        <v>1039</v>
      </c>
      <c r="I5" s="7" t="s">
        <v>1040</v>
      </c>
      <c r="J5" s="7" t="s">
        <v>1023</v>
      </c>
      <c r="K5" s="8" t="s">
        <v>1041</v>
      </c>
      <c r="L5" s="7" t="s">
        <v>1042</v>
      </c>
      <c r="M5" s="9"/>
      <c r="N5" s="9"/>
      <c r="O5" s="9"/>
    </row>
    <row r="6" customFormat="false" ht="109.5" hidden="false" customHeight="true" outlineLevel="0" collapsed="false">
      <c r="A6" s="7" t="n">
        <v>5</v>
      </c>
      <c r="B6" s="7" t="s">
        <v>1019</v>
      </c>
      <c r="C6" s="7" t="n">
        <v>2021</v>
      </c>
      <c r="D6" s="7" t="n">
        <v>168</v>
      </c>
      <c r="E6" s="7" t="n">
        <v>31.76</v>
      </c>
      <c r="F6" s="7" t="s">
        <v>1043</v>
      </c>
      <c r="G6" s="7" t="s">
        <v>1044</v>
      </c>
      <c r="H6" s="7" t="s">
        <v>1045</v>
      </c>
      <c r="I6" s="7" t="s">
        <v>1046</v>
      </c>
      <c r="J6" s="7" t="s">
        <v>1023</v>
      </c>
      <c r="K6" s="8" t="s">
        <v>1047</v>
      </c>
      <c r="L6" s="7" t="s">
        <v>1048</v>
      </c>
      <c r="M6" s="9"/>
      <c r="N6" s="9"/>
      <c r="O6" s="9"/>
    </row>
    <row r="7" customFormat="false" ht="109.5" hidden="false" customHeight="true" outlineLevel="0" collapsed="false">
      <c r="A7" s="7" t="n">
        <v>1</v>
      </c>
      <c r="B7" s="7" t="s">
        <v>1049</v>
      </c>
      <c r="C7" s="7" t="n">
        <v>2024</v>
      </c>
      <c r="D7" s="7" t="n">
        <v>210</v>
      </c>
      <c r="E7" s="7" t="n">
        <v>91.74</v>
      </c>
      <c r="F7" s="7" t="s">
        <v>1050</v>
      </c>
      <c r="G7" s="7" t="s">
        <v>1051</v>
      </c>
      <c r="H7" s="7" t="s">
        <v>1052</v>
      </c>
      <c r="I7" s="7" t="s">
        <v>527</v>
      </c>
      <c r="J7" s="7" t="s">
        <v>1023</v>
      </c>
      <c r="K7" s="8" t="s">
        <v>1053</v>
      </c>
      <c r="L7" s="7" t="s">
        <v>1054</v>
      </c>
      <c r="M7" s="9"/>
      <c r="N7" s="9"/>
      <c r="O7" s="9"/>
    </row>
    <row r="8" customFormat="false" ht="109.5" hidden="false" customHeight="true" outlineLevel="0" collapsed="false">
      <c r="A8" s="7" t="n">
        <v>2</v>
      </c>
      <c r="B8" s="7" t="s">
        <v>1049</v>
      </c>
      <c r="C8" s="7" t="n">
        <v>2024</v>
      </c>
      <c r="D8" s="7" t="n">
        <v>179</v>
      </c>
      <c r="E8" s="7" t="n">
        <v>78.2</v>
      </c>
      <c r="F8" s="7" t="s">
        <v>1055</v>
      </c>
      <c r="G8" s="7" t="s">
        <v>1056</v>
      </c>
      <c r="H8" s="7" t="s">
        <v>1057</v>
      </c>
      <c r="I8" s="7" t="s">
        <v>1058</v>
      </c>
      <c r="J8" s="7" t="s">
        <v>1023</v>
      </c>
      <c r="K8" s="8" t="s">
        <v>1059</v>
      </c>
      <c r="L8" s="7" t="s">
        <v>1060</v>
      </c>
      <c r="M8" s="9"/>
      <c r="N8" s="9"/>
      <c r="O8" s="9"/>
    </row>
    <row r="9" customFormat="false" ht="109.5" hidden="false" customHeight="true" outlineLevel="0" collapsed="false">
      <c r="A9" s="7" t="n">
        <v>3</v>
      </c>
      <c r="B9" s="7" t="s">
        <v>1049</v>
      </c>
      <c r="C9" s="7" t="n">
        <v>2024</v>
      </c>
      <c r="D9" s="7" t="n">
        <v>151</v>
      </c>
      <c r="E9" s="7" t="n">
        <v>65.97</v>
      </c>
      <c r="F9" s="7" t="s">
        <v>1061</v>
      </c>
      <c r="G9" s="7" t="s">
        <v>1062</v>
      </c>
      <c r="H9" s="7" t="s">
        <v>1063</v>
      </c>
      <c r="I9" s="7" t="s">
        <v>260</v>
      </c>
      <c r="J9" s="7" t="s">
        <v>1023</v>
      </c>
      <c r="K9" s="8" t="s">
        <v>1064</v>
      </c>
      <c r="L9" s="7" t="s">
        <v>1065</v>
      </c>
      <c r="M9" s="9"/>
      <c r="N9" s="9"/>
      <c r="O9" s="9"/>
    </row>
    <row r="10" customFormat="false" ht="109.5" hidden="false" customHeight="true" outlineLevel="0" collapsed="false">
      <c r="A10" s="7" t="n">
        <v>4</v>
      </c>
      <c r="B10" s="7" t="s">
        <v>1049</v>
      </c>
      <c r="C10" s="7" t="n">
        <v>2026</v>
      </c>
      <c r="D10" s="7" t="n">
        <v>22</v>
      </c>
      <c r="E10" s="7" t="n">
        <v>44</v>
      </c>
      <c r="F10" s="7" t="s">
        <v>1066</v>
      </c>
      <c r="G10" s="7" t="s">
        <v>1067</v>
      </c>
      <c r="H10" s="7" t="s">
        <v>1068</v>
      </c>
      <c r="I10" s="7" t="s">
        <v>326</v>
      </c>
      <c r="J10" s="7" t="s">
        <v>1023</v>
      </c>
      <c r="K10" s="8" t="s">
        <v>1069</v>
      </c>
      <c r="L10" s="7" t="s">
        <v>1070</v>
      </c>
      <c r="M10" s="9"/>
      <c r="N10" s="9"/>
      <c r="O10" s="9"/>
    </row>
    <row r="11" customFormat="false" ht="109.5" hidden="false" customHeight="true" outlineLevel="0" collapsed="false">
      <c r="A11" s="7" t="n">
        <v>5</v>
      </c>
      <c r="B11" s="7" t="s">
        <v>1049</v>
      </c>
      <c r="C11" s="7" t="n">
        <v>2025</v>
      </c>
      <c r="D11" s="7" t="n">
        <v>56</v>
      </c>
      <c r="E11" s="7" t="n">
        <v>43.44</v>
      </c>
      <c r="F11" s="7" t="s">
        <v>1071</v>
      </c>
      <c r="G11" s="7" t="s">
        <v>1072</v>
      </c>
      <c r="H11" s="7" t="s">
        <v>1073</v>
      </c>
      <c r="I11" s="7" t="s">
        <v>326</v>
      </c>
      <c r="J11" s="7" t="s">
        <v>1023</v>
      </c>
      <c r="K11" s="8" t="s">
        <v>1074</v>
      </c>
      <c r="L11" s="7" t="s">
        <v>1075</v>
      </c>
      <c r="M11" s="9"/>
      <c r="N11" s="9"/>
      <c r="O11" s="9"/>
    </row>
    <row r="12" customFormat="false" ht="109.5" hidden="false" customHeight="true" outlineLevel="0" collapsed="false">
      <c r="A12" s="7" t="n">
        <v>1</v>
      </c>
      <c r="B12" s="7" t="s">
        <v>1076</v>
      </c>
      <c r="C12" s="7" t="n">
        <v>2025</v>
      </c>
      <c r="D12" s="7" t="n">
        <v>152</v>
      </c>
      <c r="E12" s="7" t="n">
        <v>117.92</v>
      </c>
      <c r="F12" s="7" t="s">
        <v>1077</v>
      </c>
      <c r="G12" s="7" t="s">
        <v>1078</v>
      </c>
      <c r="H12" s="7" t="s">
        <v>1079</v>
      </c>
      <c r="I12" s="7" t="s">
        <v>1080</v>
      </c>
      <c r="J12" s="7" t="s">
        <v>1023</v>
      </c>
      <c r="K12" s="8" t="s">
        <v>1081</v>
      </c>
      <c r="L12" s="7" t="s">
        <v>1082</v>
      </c>
      <c r="M12" s="9"/>
      <c r="N12" s="9"/>
      <c r="O12" s="9"/>
    </row>
    <row r="13" customFormat="false" ht="109.5" hidden="false" customHeight="true" outlineLevel="0" collapsed="false">
      <c r="A13" s="7" t="n">
        <v>1</v>
      </c>
      <c r="B13" s="7" t="s">
        <v>1076</v>
      </c>
      <c r="C13" s="7" t="n">
        <v>2023</v>
      </c>
      <c r="D13" s="7" t="n">
        <v>235</v>
      </c>
      <c r="E13" s="7" t="n">
        <v>71.45</v>
      </c>
      <c r="F13" s="7" t="s">
        <v>1083</v>
      </c>
      <c r="G13" s="7" t="s">
        <v>1084</v>
      </c>
      <c r="H13" s="7" t="s">
        <v>1085</v>
      </c>
      <c r="I13" s="7" t="s">
        <v>743</v>
      </c>
      <c r="J13" s="7" t="s">
        <v>1023</v>
      </c>
      <c r="K13" s="8" t="s">
        <v>1086</v>
      </c>
      <c r="L13" s="7" t="s">
        <v>1087</v>
      </c>
      <c r="M13" s="9"/>
      <c r="N13" s="9"/>
      <c r="O13" s="9"/>
    </row>
    <row r="14" customFormat="false" ht="109.5" hidden="false" customHeight="true" outlineLevel="0" collapsed="false">
      <c r="A14" s="7" t="n">
        <v>2</v>
      </c>
      <c r="B14" s="7" t="s">
        <v>1076</v>
      </c>
      <c r="C14" s="7" t="n">
        <v>2023</v>
      </c>
      <c r="D14" s="7" t="n">
        <v>124</v>
      </c>
      <c r="E14" s="7" t="n">
        <v>37.7</v>
      </c>
      <c r="F14" s="7" t="s">
        <v>1088</v>
      </c>
      <c r="G14" s="7" t="s">
        <v>1089</v>
      </c>
      <c r="H14" s="7" t="s">
        <v>1090</v>
      </c>
      <c r="I14" s="7" t="s">
        <v>801</v>
      </c>
      <c r="J14" s="7" t="s">
        <v>1023</v>
      </c>
      <c r="K14" s="8" t="s">
        <v>1091</v>
      </c>
      <c r="L14" s="7" t="s">
        <v>1092</v>
      </c>
      <c r="M14" s="9"/>
      <c r="N14" s="9"/>
      <c r="O14" s="9"/>
    </row>
    <row r="15" customFormat="false" ht="109.5" hidden="false" customHeight="true" outlineLevel="0" collapsed="false">
      <c r="A15" s="7" t="n">
        <v>2</v>
      </c>
      <c r="B15" s="7" t="s">
        <v>1076</v>
      </c>
      <c r="C15" s="7" t="n">
        <v>2025</v>
      </c>
      <c r="D15" s="7" t="n">
        <v>33</v>
      </c>
      <c r="E15" s="7" t="n">
        <v>25.6</v>
      </c>
      <c r="F15" s="7" t="s">
        <v>1093</v>
      </c>
      <c r="G15" s="7" t="s">
        <v>1094</v>
      </c>
      <c r="H15" s="7" t="s">
        <v>1095</v>
      </c>
      <c r="I15" s="7" t="s">
        <v>1096</v>
      </c>
      <c r="J15" s="7" t="s">
        <v>1023</v>
      </c>
      <c r="K15" s="8" t="s">
        <v>1097</v>
      </c>
      <c r="L15" s="7" t="s">
        <v>1098</v>
      </c>
      <c r="M15" s="9"/>
      <c r="N15" s="9"/>
      <c r="O15" s="9"/>
    </row>
    <row r="16" customFormat="false" ht="109.5" hidden="false" customHeight="true" outlineLevel="0" collapsed="false">
      <c r="A16" s="7" t="n">
        <v>3</v>
      </c>
      <c r="B16" s="7" t="s">
        <v>1076</v>
      </c>
      <c r="C16" s="7" t="n">
        <v>2024</v>
      </c>
      <c r="D16" s="7" t="n">
        <v>56</v>
      </c>
      <c r="E16" s="7" t="n">
        <v>24.46</v>
      </c>
      <c r="F16" s="7" t="s">
        <v>1099</v>
      </c>
      <c r="G16" s="7" t="s">
        <v>1100</v>
      </c>
      <c r="H16" s="7" t="s">
        <v>1101</v>
      </c>
      <c r="I16" s="7" t="s">
        <v>743</v>
      </c>
      <c r="J16" s="7" t="s">
        <v>1023</v>
      </c>
      <c r="K16" s="8" t="s">
        <v>1102</v>
      </c>
      <c r="L16" s="7" t="s">
        <v>1103</v>
      </c>
      <c r="M16" s="9"/>
      <c r="N16" s="9"/>
      <c r="O16" s="9"/>
    </row>
  </sheetData>
  <autoFilter ref="A1:O16"/>
  <conditionalFormatting sqref="A2:O16">
    <cfRule type="expression" priority="2" aboveAverage="0" equalAverage="0" bottom="0" percent="0" rank="0" text="" dxfId="3">
      <formula>$M2="Include"</formula>
    </cfRule>
    <cfRule type="expression" priority="3" aboveAverage="0" equalAverage="0" bottom="0" percent="0" rank="0" text="" dxfId="4">
      <formula>$M2="Exclude"</formula>
    </cfRule>
  </conditionalFormatting>
  <dataValidations count="2">
    <dataValidation allowBlank="true" errorStyle="stop" operator="between" showDropDown="false" showErrorMessage="false" showInputMessage="false" sqref="M2:M16" type="list">
      <formula1>"Include,Exclude,Unsure"</formula1>
      <formula2>0</formula2>
    </dataValidation>
    <dataValidation allowBlank="true" errorStyle="stop" operator="between" showDropDown="false" showErrorMessage="false" showInputMessage="false" sqref="N2:N16" type="list">
      <formula1>"E1,E2,E3,E4"</formula1>
      <formula2>0</formula2>
    </dataValidation>
  </dataValidations>
  <hyperlinks>
    <hyperlink ref="K2" r:id="rId1" display="10.1016/j.comcom.2020.02.069"/>
    <hyperlink ref="K3" r:id="rId2" display="10.3390/rs14030620"/>
    <hyperlink ref="K4" r:id="rId3" display="10.1016/j.jestch.2023.101455"/>
    <hyperlink ref="K5" r:id="rId4" display="10.3390/ijerph18115940"/>
    <hyperlink ref="K6" r:id="rId5" display="10.3390/futuretransp1020019"/>
    <hyperlink ref="K7" r:id="rId6" display="10.3390/s24010125"/>
    <hyperlink ref="K8" r:id="rId7" display="10.1016/j.cosrev.2023.100614"/>
    <hyperlink ref="K9" r:id="rId8" display="10.3390/rs16050879"/>
    <hyperlink ref="K10" r:id="rId9" display="10.3390/drones10020091"/>
    <hyperlink ref="K11" r:id="rId10" display="10.3390/drones9010059"/>
    <hyperlink ref="K12" r:id="rId11" display="10.1016/j.iswa.2025.200561"/>
    <hyperlink ref="K13" r:id="rId12" display="10.1016/j.oceaneng.2023.115359"/>
    <hyperlink ref="K14" r:id="rId13" display="10.1016/j.ssci.2023.106256"/>
    <hyperlink ref="K15" r:id="rId14" display="10.1016/j.atech.2025.101147"/>
    <hyperlink ref="K16" r:id="rId15" display="10.1016/j.oceaneng.2024.118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4" min="2" style="0" width="10"/>
    <col collapsed="false" customWidth="true" hidden="false" outlineLevel="0" max="5" min="5" style="0" width="90"/>
  </cols>
  <sheetData>
    <row r="1" customFormat="false" ht="15" hidden="false" customHeight="false" outlineLevel="0" collapsed="false">
      <c r="A1" s="3" t="s">
        <v>1104</v>
      </c>
      <c r="B1" s="3" t="s">
        <v>28</v>
      </c>
      <c r="C1" s="3" t="s">
        <v>29</v>
      </c>
      <c r="D1" s="3" t="s">
        <v>30</v>
      </c>
      <c r="E1" s="3" t="s">
        <v>1105</v>
      </c>
    </row>
    <row r="2" customFormat="false" ht="15" hidden="false" customHeight="false" outlineLevel="0" collapsed="false">
      <c r="A2" s="2" t="s">
        <v>1106</v>
      </c>
      <c r="B2" s="2" t="n">
        <v>5434</v>
      </c>
      <c r="C2" s="2" t="n">
        <v>28882</v>
      </c>
      <c r="D2" s="2" t="n">
        <v>2144</v>
      </c>
      <c r="E2" s="2" t="s">
        <v>1107</v>
      </c>
    </row>
    <row r="3" customFormat="false" ht="15" hidden="false" customHeight="false" outlineLevel="0" collapsed="false">
      <c r="A3" s="2" t="s">
        <v>1108</v>
      </c>
      <c r="B3" s="2" t="n">
        <v>5434</v>
      </c>
      <c r="C3" s="2" t="n">
        <v>26412</v>
      </c>
      <c r="D3" s="2" t="n">
        <v>2144</v>
      </c>
      <c r="E3" s="2" t="s">
        <v>1109</v>
      </c>
    </row>
    <row r="4" customFormat="false" ht="15" hidden="false" customHeight="false" outlineLevel="0" collapsed="false">
      <c r="A4" s="2" t="s">
        <v>1110</v>
      </c>
      <c r="B4" s="2" t="n">
        <v>3391</v>
      </c>
      <c r="C4" s="2" t="n">
        <v>5244</v>
      </c>
      <c r="D4" s="2" t="n">
        <v>1820</v>
      </c>
      <c r="E4" s="2" t="s">
        <v>1111</v>
      </c>
    </row>
    <row r="5" customFormat="false" ht="15" hidden="false" customHeight="false" outlineLevel="0" collapsed="false">
      <c r="A5" s="2" t="s">
        <v>1112</v>
      </c>
      <c r="B5" s="2" t="n">
        <v>3391</v>
      </c>
      <c r="C5" s="2" t="n">
        <v>5242</v>
      </c>
      <c r="D5" s="2" t="n">
        <v>1820</v>
      </c>
      <c r="E5" s="2" t="s">
        <v>1113</v>
      </c>
    </row>
    <row r="6" customFormat="false" ht="15" hidden="false" customHeight="false" outlineLevel="0" collapsed="false">
      <c r="A6" s="2" t="s">
        <v>1114</v>
      </c>
      <c r="B6" s="2" t="n">
        <v>3244</v>
      </c>
      <c r="C6" s="2" t="n">
        <v>5055</v>
      </c>
      <c r="D6" s="2" t="n">
        <v>1815</v>
      </c>
      <c r="E6" s="2" t="s">
        <v>1115</v>
      </c>
    </row>
    <row r="7" customFormat="false" ht="15" hidden="false" customHeight="false" outlineLevel="0" collapsed="false">
      <c r="A7" s="2" t="s">
        <v>1116</v>
      </c>
      <c r="B7" s="2" t="n">
        <v>1461</v>
      </c>
      <c r="C7" s="2" t="n">
        <v>2593</v>
      </c>
      <c r="D7" s="2" t="n">
        <v>834</v>
      </c>
      <c r="E7" s="2"/>
    </row>
    <row r="8" customFormat="false" ht="15" hidden="false" customHeight="false" outlineLevel="0" collapsed="false">
      <c r="A8" s="2" t="s">
        <v>1117</v>
      </c>
      <c r="B8" s="2" t="n">
        <v>1783</v>
      </c>
      <c r="C8" s="2" t="n">
        <v>2462</v>
      </c>
      <c r="D8" s="2" t="n">
        <v>981</v>
      </c>
      <c r="E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2026-10-15T21:09:15Z</dcterms:created>
  <dc:creator>openpyxl</dc:creator>
  <dc:description/>
  <dc:language>en-US</dc:language>
  <cp:lastModifiedBy/>
  <dcterms:modified xsi:type="dcterms:W3CDTF">2026-10-15T21:09:15Z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